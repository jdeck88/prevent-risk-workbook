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lles04\Dropbox\CKD-PC.5.2b All CVD risk eqn - CKMH Risk eqn\"/>
    </mc:Choice>
  </mc:AlternateContent>
  <xr:revisionPtr revIDLastSave="0" documentId="13_ncr:1_{B9794191-33A3-46F4-B386-BDD95765EDE4}" xr6:coauthVersionLast="36" xr6:coauthVersionMax="36" xr10:uidLastSave="{00000000-0000-0000-0000-000000000000}"/>
  <bookViews>
    <workbookView xWindow="0" yWindow="0" windowWidth="28800" windowHeight="12225" xr2:uid="{C043F6A5-F3DA-4E1B-AF0D-B49422A3AFA1}"/>
  </bookViews>
  <sheets>
    <sheet name="Table of Contents" sheetId="17" r:id="rId1"/>
    <sheet name="TableS1" sheetId="1" r:id="rId2"/>
    <sheet name="Table S2A" sheetId="38" r:id="rId3"/>
    <sheet name="Table S2B" sheetId="3" r:id="rId4"/>
    <sheet name="Table S3" sheetId="4" r:id="rId5"/>
    <sheet name="Table S4" sheetId="2" r:id="rId6"/>
    <sheet name="Table S5A" sheetId="13" r:id="rId7"/>
    <sheet name="Table S5B" sheetId="37" r:id="rId8"/>
    <sheet name="Table S5C" sheetId="40" r:id="rId9"/>
    <sheet name="Table S5D" sheetId="39" r:id="rId10"/>
    <sheet name="Table S6" sheetId="18" r:id="rId11"/>
    <sheet name="Table S7" sheetId="24" r:id="rId12"/>
    <sheet name="Table S8" sheetId="23" r:id="rId13"/>
    <sheet name="Table S9" sheetId="7" r:id="rId14"/>
    <sheet name="Table S10" sheetId="8" r:id="rId15"/>
    <sheet name="TableS11" sheetId="14" r:id="rId16"/>
    <sheet name="Table S12A Base 10yr" sheetId="41" r:id="rId17"/>
    <sheet name="Table S12B ACR 10yr" sheetId="42" r:id="rId18"/>
    <sheet name="Table S12C A1c 10yr" sheetId="43" r:id="rId19"/>
    <sheet name="Table S12D SDI 10yr" sheetId="44" r:id="rId20"/>
    <sheet name="Table S12E Full 10yr" sheetId="45" r:id="rId21"/>
    <sheet name="Table S12F Base 30yr" sheetId="46" r:id="rId22"/>
    <sheet name="Table S12G ACR 30yr" sheetId="47" r:id="rId23"/>
    <sheet name="Table S12H A1c 30yr" sheetId="48" r:id="rId24"/>
    <sheet name="Table S12I SDI 30yr" sheetId="49" r:id="rId25"/>
    <sheet name="Table S12J Full 30yr" sheetId="50" r:id="rId26"/>
    <sheet name="Table S13" sheetId="20" r:id="rId27"/>
    <sheet name="Table S14" sheetId="25" r:id="rId28"/>
    <sheet name="Table S15" sheetId="11" r:id="rId29"/>
    <sheet name="Table S16" sheetId="22" r:id="rId30"/>
    <sheet name="Table S17A" sheetId="9" r:id="rId31"/>
    <sheet name="Table S17B" sheetId="36" r:id="rId32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8" i="50" l="1"/>
  <c r="B47" i="50"/>
  <c r="B46" i="50"/>
  <c r="B45" i="50"/>
  <c r="B44" i="50"/>
  <c r="B34" i="50"/>
  <c r="B33" i="50"/>
  <c r="B32" i="50"/>
  <c r="B31" i="50"/>
  <c r="B30" i="50"/>
  <c r="B29" i="50"/>
  <c r="B28" i="50"/>
  <c r="B27" i="50"/>
  <c r="B26" i="50"/>
  <c r="B25" i="50"/>
  <c r="B24" i="50"/>
  <c r="B23" i="50"/>
  <c r="B21" i="50"/>
  <c r="B22" i="50" s="1"/>
  <c r="B43" i="49"/>
  <c r="B42" i="49"/>
  <c r="B32" i="49"/>
  <c r="B31" i="49"/>
  <c r="B30" i="49"/>
  <c r="B29" i="49"/>
  <c r="B28" i="49"/>
  <c r="B27" i="49"/>
  <c r="B26" i="49"/>
  <c r="B25" i="49"/>
  <c r="B24" i="49"/>
  <c r="B23" i="49"/>
  <c r="B22" i="49"/>
  <c r="B21" i="49"/>
  <c r="B19" i="49"/>
  <c r="B20" i="49" s="1"/>
  <c r="B43" i="48"/>
  <c r="B42" i="48"/>
  <c r="B32" i="48"/>
  <c r="B31" i="48"/>
  <c r="B30" i="48"/>
  <c r="B29" i="48"/>
  <c r="B28" i="48"/>
  <c r="B27" i="48"/>
  <c r="B26" i="48"/>
  <c r="B25" i="48"/>
  <c r="B24" i="48"/>
  <c r="B23" i="48"/>
  <c r="B22" i="48"/>
  <c r="B21" i="48"/>
  <c r="B19" i="48"/>
  <c r="B20" i="48" s="1"/>
  <c r="B42" i="47"/>
  <c r="B32" i="47"/>
  <c r="B31" i="47"/>
  <c r="B30" i="47"/>
  <c r="B29" i="47"/>
  <c r="B28" i="47"/>
  <c r="B27" i="47"/>
  <c r="B26" i="47"/>
  <c r="B25" i="47"/>
  <c r="B24" i="47"/>
  <c r="B23" i="47"/>
  <c r="B22" i="47"/>
  <c r="B21" i="47"/>
  <c r="B20" i="47"/>
  <c r="B19" i="47"/>
  <c r="B31" i="46"/>
  <c r="B30" i="46"/>
  <c r="B29" i="46"/>
  <c r="B28" i="46"/>
  <c r="B27" i="46"/>
  <c r="B26" i="46"/>
  <c r="B25" i="46"/>
  <c r="B24" i="46"/>
  <c r="B23" i="46"/>
  <c r="B22" i="46"/>
  <c r="B21" i="46"/>
  <c r="B20" i="46"/>
  <c r="B19" i="46"/>
  <c r="B18" i="46"/>
  <c r="B47" i="45"/>
  <c r="B46" i="45"/>
  <c r="B45" i="45"/>
  <c r="B44" i="45"/>
  <c r="B43" i="45"/>
  <c r="B33" i="45"/>
  <c r="B32" i="45"/>
  <c r="B31" i="45"/>
  <c r="B30" i="45"/>
  <c r="B29" i="45"/>
  <c r="B28" i="45"/>
  <c r="B27" i="45"/>
  <c r="B26" i="45"/>
  <c r="B25" i="45"/>
  <c r="B24" i="45"/>
  <c r="B23" i="45"/>
  <c r="B22" i="45"/>
  <c r="B21" i="45"/>
  <c r="B42" i="44"/>
  <c r="B41" i="44"/>
  <c r="B31" i="44"/>
  <c r="B30" i="44"/>
  <c r="B29" i="44"/>
  <c r="B28" i="44"/>
  <c r="B27" i="44"/>
  <c r="B26" i="44"/>
  <c r="B25" i="44"/>
  <c r="B24" i="44"/>
  <c r="B23" i="44"/>
  <c r="B22" i="44"/>
  <c r="B21" i="44"/>
  <c r="B20" i="44"/>
  <c r="B19" i="44"/>
  <c r="B42" i="43"/>
  <c r="B41" i="43"/>
  <c r="B31" i="43"/>
  <c r="B30" i="43"/>
  <c r="B29" i="43"/>
  <c r="B28" i="43"/>
  <c r="B27" i="43"/>
  <c r="B26" i="43"/>
  <c r="B25" i="43"/>
  <c r="B24" i="43"/>
  <c r="B23" i="43"/>
  <c r="B22" i="43"/>
  <c r="B21" i="43"/>
  <c r="B20" i="43"/>
  <c r="B19" i="43"/>
  <c r="B41" i="42"/>
  <c r="B31" i="42"/>
  <c r="B30" i="42"/>
  <c r="B29" i="42"/>
  <c r="B28" i="42"/>
  <c r="B27" i="42"/>
  <c r="B26" i="42"/>
  <c r="B25" i="42"/>
  <c r="B24" i="42"/>
  <c r="B23" i="42"/>
  <c r="B22" i="42"/>
  <c r="B21" i="42"/>
  <c r="B20" i="42"/>
  <c r="B19" i="42"/>
  <c r="B30" i="41"/>
  <c r="B29" i="41"/>
  <c r="B28" i="41"/>
  <c r="B27" i="41"/>
  <c r="B26" i="41"/>
  <c r="B25" i="41"/>
  <c r="B24" i="41"/>
  <c r="B23" i="41"/>
  <c r="B22" i="41"/>
  <c r="B21" i="41"/>
  <c r="B20" i="41"/>
  <c r="B19" i="41"/>
  <c r="B18" i="41"/>
  <c r="L49" i="50" l="1"/>
  <c r="K49" i="50"/>
  <c r="J49" i="50"/>
  <c r="I49" i="50"/>
  <c r="H49" i="50"/>
  <c r="G49" i="50"/>
  <c r="F49" i="50"/>
  <c r="E49" i="50"/>
  <c r="D49" i="50"/>
  <c r="C49" i="50"/>
  <c r="K46" i="50"/>
  <c r="J45" i="50"/>
  <c r="L44" i="50"/>
  <c r="I44" i="50"/>
  <c r="G44" i="50"/>
  <c r="F44" i="50"/>
  <c r="C44" i="50"/>
  <c r="H44" i="50"/>
  <c r="C34" i="50"/>
  <c r="L32" i="50"/>
  <c r="I32" i="50"/>
  <c r="G32" i="50"/>
  <c r="F32" i="50"/>
  <c r="C32" i="50"/>
  <c r="H32" i="50"/>
  <c r="K30" i="50"/>
  <c r="J30" i="50"/>
  <c r="G30" i="50"/>
  <c r="E30" i="50"/>
  <c r="D30" i="50"/>
  <c r="L30" i="50"/>
  <c r="L29" i="50"/>
  <c r="K29" i="50"/>
  <c r="J29" i="50"/>
  <c r="I29" i="50"/>
  <c r="G29" i="50"/>
  <c r="F29" i="50"/>
  <c r="E29" i="50"/>
  <c r="D29" i="50"/>
  <c r="C29" i="50"/>
  <c r="H29" i="50"/>
  <c r="K28" i="50"/>
  <c r="I28" i="50"/>
  <c r="H28" i="50"/>
  <c r="J27" i="50"/>
  <c r="H27" i="50"/>
  <c r="G27" i="50"/>
  <c r="L26" i="50"/>
  <c r="I26" i="50"/>
  <c r="G26" i="50"/>
  <c r="F26" i="50"/>
  <c r="D26" i="50"/>
  <c r="C26" i="50"/>
  <c r="H26" i="50"/>
  <c r="L25" i="50"/>
  <c r="K25" i="50"/>
  <c r="H25" i="50"/>
  <c r="K24" i="50"/>
  <c r="J24" i="50"/>
  <c r="G24" i="50"/>
  <c r="E24" i="50"/>
  <c r="D24" i="50"/>
  <c r="L24" i="50"/>
  <c r="L23" i="50"/>
  <c r="K23" i="50"/>
  <c r="J23" i="50"/>
  <c r="I23" i="50"/>
  <c r="G23" i="50"/>
  <c r="F23" i="50"/>
  <c r="E23" i="50"/>
  <c r="D23" i="50"/>
  <c r="C23" i="50"/>
  <c r="H23" i="50"/>
  <c r="K21" i="50"/>
  <c r="H21" i="50"/>
  <c r="G21" i="50"/>
  <c r="E21" i="50"/>
  <c r="D21" i="50"/>
  <c r="B40" i="50"/>
  <c r="L44" i="49"/>
  <c r="K44" i="49"/>
  <c r="J44" i="49"/>
  <c r="I44" i="49"/>
  <c r="H44" i="49"/>
  <c r="G44" i="49"/>
  <c r="F44" i="49"/>
  <c r="E44" i="49"/>
  <c r="D44" i="49"/>
  <c r="C44" i="49"/>
  <c r="H43" i="49"/>
  <c r="G43" i="49"/>
  <c r="L42" i="49"/>
  <c r="K42" i="49"/>
  <c r="J42" i="49"/>
  <c r="I42" i="49"/>
  <c r="G42" i="49"/>
  <c r="F42" i="49"/>
  <c r="E42" i="49"/>
  <c r="D42" i="49"/>
  <c r="C42" i="49"/>
  <c r="H42" i="49"/>
  <c r="B41" i="49"/>
  <c r="J41" i="49" s="1"/>
  <c r="B39" i="49"/>
  <c r="J39" i="49" s="1"/>
  <c r="B37" i="49"/>
  <c r="K37" i="49" s="1"/>
  <c r="H32" i="49"/>
  <c r="G32" i="49"/>
  <c r="L31" i="49"/>
  <c r="K31" i="49"/>
  <c r="F31" i="49"/>
  <c r="E31" i="49"/>
  <c r="D31" i="49"/>
  <c r="H31" i="49"/>
  <c r="L30" i="49"/>
  <c r="K30" i="49"/>
  <c r="J30" i="49"/>
  <c r="I30" i="49"/>
  <c r="G30" i="49"/>
  <c r="F30" i="49"/>
  <c r="E30" i="49"/>
  <c r="D30" i="49"/>
  <c r="C30" i="49"/>
  <c r="H30" i="49"/>
  <c r="L29" i="49"/>
  <c r="H29" i="49"/>
  <c r="F29" i="49"/>
  <c r="E29" i="49"/>
  <c r="G29" i="49"/>
  <c r="J28" i="49"/>
  <c r="I28" i="49"/>
  <c r="C28" i="49"/>
  <c r="G27" i="49"/>
  <c r="F27" i="49"/>
  <c r="K27" i="49"/>
  <c r="L26" i="49"/>
  <c r="K26" i="49"/>
  <c r="G26" i="49"/>
  <c r="F26" i="49"/>
  <c r="E26" i="49"/>
  <c r="J26" i="49"/>
  <c r="L25" i="49"/>
  <c r="K25" i="49"/>
  <c r="J25" i="49"/>
  <c r="F25" i="49"/>
  <c r="E25" i="49"/>
  <c r="D25" i="49"/>
  <c r="I25" i="49"/>
  <c r="K24" i="49"/>
  <c r="J24" i="49"/>
  <c r="I24" i="49"/>
  <c r="E24" i="49"/>
  <c r="D24" i="49"/>
  <c r="C24" i="49"/>
  <c r="B33" i="49"/>
  <c r="L33" i="49" s="1"/>
  <c r="H22" i="49"/>
  <c r="G22" i="49"/>
  <c r="L21" i="49"/>
  <c r="G21" i="49"/>
  <c r="F21" i="49"/>
  <c r="K21" i="49"/>
  <c r="L19" i="49"/>
  <c r="K19" i="49"/>
  <c r="J19" i="49"/>
  <c r="I19" i="49"/>
  <c r="F19" i="49"/>
  <c r="E19" i="49"/>
  <c r="D19" i="49"/>
  <c r="C19" i="49"/>
  <c r="B40" i="49"/>
  <c r="G40" i="49" s="1"/>
  <c r="L44" i="48"/>
  <c r="K44" i="48"/>
  <c r="J44" i="48"/>
  <c r="I44" i="48"/>
  <c r="H44" i="48"/>
  <c r="G44" i="48"/>
  <c r="F44" i="48"/>
  <c r="E44" i="48"/>
  <c r="D44" i="48"/>
  <c r="C44" i="48"/>
  <c r="G43" i="48"/>
  <c r="B38" i="48"/>
  <c r="J38" i="48" s="1"/>
  <c r="C33" i="48"/>
  <c r="B33" i="48"/>
  <c r="L31" i="48"/>
  <c r="K31" i="48"/>
  <c r="J31" i="48"/>
  <c r="I31" i="48"/>
  <c r="G31" i="48"/>
  <c r="F31" i="48"/>
  <c r="E31" i="48"/>
  <c r="D31" i="48"/>
  <c r="C31" i="48"/>
  <c r="H31" i="48"/>
  <c r="L30" i="48"/>
  <c r="K30" i="48"/>
  <c r="J30" i="48"/>
  <c r="F30" i="48"/>
  <c r="E30" i="48"/>
  <c r="D30" i="48"/>
  <c r="I30" i="48"/>
  <c r="K29" i="48"/>
  <c r="J29" i="48"/>
  <c r="I29" i="48"/>
  <c r="G29" i="48"/>
  <c r="E29" i="48"/>
  <c r="D29" i="48"/>
  <c r="C29" i="48"/>
  <c r="H29" i="48"/>
  <c r="L26" i="48"/>
  <c r="H26" i="48"/>
  <c r="F26" i="48"/>
  <c r="L25" i="48"/>
  <c r="K25" i="48"/>
  <c r="J25" i="48"/>
  <c r="I25" i="48"/>
  <c r="G25" i="48"/>
  <c r="F25" i="48"/>
  <c r="E25" i="48"/>
  <c r="D25" i="48"/>
  <c r="C25" i="48"/>
  <c r="H25" i="48"/>
  <c r="L24" i="48"/>
  <c r="K24" i="48"/>
  <c r="J24" i="48"/>
  <c r="F24" i="48"/>
  <c r="E24" i="48"/>
  <c r="D24" i="48"/>
  <c r="I24" i="48"/>
  <c r="K23" i="48"/>
  <c r="J23" i="48"/>
  <c r="I23" i="48"/>
  <c r="G23" i="48"/>
  <c r="E23" i="48"/>
  <c r="D23" i="48"/>
  <c r="C23" i="48"/>
  <c r="H23" i="48"/>
  <c r="J22" i="48"/>
  <c r="I21" i="48"/>
  <c r="H21" i="48"/>
  <c r="C21" i="48"/>
  <c r="L20" i="48"/>
  <c r="H20" i="48"/>
  <c r="L19" i="48"/>
  <c r="K19" i="48"/>
  <c r="J19" i="48"/>
  <c r="I19" i="48"/>
  <c r="G19" i="48"/>
  <c r="F19" i="48"/>
  <c r="E19" i="48"/>
  <c r="D19" i="48"/>
  <c r="C19" i="48"/>
  <c r="L43" i="47"/>
  <c r="K43" i="47"/>
  <c r="J43" i="47"/>
  <c r="I43" i="47"/>
  <c r="H43" i="47"/>
  <c r="G43" i="47"/>
  <c r="F43" i="47"/>
  <c r="E43" i="47"/>
  <c r="D43" i="47"/>
  <c r="C43" i="47"/>
  <c r="J42" i="47"/>
  <c r="I42" i="47"/>
  <c r="H42" i="47"/>
  <c r="D42" i="47"/>
  <c r="C42" i="47"/>
  <c r="B40" i="47"/>
  <c r="L38" i="47"/>
  <c r="K38" i="47"/>
  <c r="J38" i="47"/>
  <c r="F38" i="47"/>
  <c r="E38" i="47"/>
  <c r="D38" i="47"/>
  <c r="B38" i="47"/>
  <c r="I38" i="47" s="1"/>
  <c r="B35" i="47"/>
  <c r="B34" i="47"/>
  <c r="L34" i="47" s="1"/>
  <c r="L32" i="47"/>
  <c r="K32" i="47"/>
  <c r="J32" i="47"/>
  <c r="F32" i="47"/>
  <c r="E32" i="47"/>
  <c r="D32" i="47"/>
  <c r="I32" i="47"/>
  <c r="K31" i="47"/>
  <c r="J31" i="47"/>
  <c r="I31" i="47"/>
  <c r="G31" i="47"/>
  <c r="E31" i="47"/>
  <c r="D31" i="47"/>
  <c r="C31" i="47"/>
  <c r="H31" i="47"/>
  <c r="L28" i="47"/>
  <c r="H28" i="47"/>
  <c r="F28" i="47"/>
  <c r="L27" i="47"/>
  <c r="K27" i="47"/>
  <c r="J27" i="47"/>
  <c r="I27" i="47"/>
  <c r="G27" i="47"/>
  <c r="F27" i="47"/>
  <c r="E27" i="47"/>
  <c r="D27" i="47"/>
  <c r="C27" i="47"/>
  <c r="H27" i="47"/>
  <c r="L26" i="47"/>
  <c r="K26" i="47"/>
  <c r="J26" i="47"/>
  <c r="F26" i="47"/>
  <c r="E26" i="47"/>
  <c r="D26" i="47"/>
  <c r="I26" i="47"/>
  <c r="K25" i="47"/>
  <c r="J25" i="47"/>
  <c r="I25" i="47"/>
  <c r="G25" i="47"/>
  <c r="E25" i="47"/>
  <c r="D25" i="47"/>
  <c r="C25" i="47"/>
  <c r="H25" i="47"/>
  <c r="J24" i="47"/>
  <c r="I23" i="47"/>
  <c r="H23" i="47"/>
  <c r="C23" i="47"/>
  <c r="L21" i="47"/>
  <c r="K21" i="47"/>
  <c r="J21" i="47"/>
  <c r="I21" i="47"/>
  <c r="G21" i="47"/>
  <c r="F21" i="47"/>
  <c r="E21" i="47"/>
  <c r="D21" i="47"/>
  <c r="C21" i="47"/>
  <c r="H21" i="47"/>
  <c r="K20" i="47"/>
  <c r="J20" i="47"/>
  <c r="K19" i="47"/>
  <c r="J19" i="47"/>
  <c r="I19" i="47"/>
  <c r="G19" i="47"/>
  <c r="E19" i="47"/>
  <c r="D19" i="47"/>
  <c r="C19" i="47"/>
  <c r="L41" i="46"/>
  <c r="K41" i="46"/>
  <c r="J41" i="46"/>
  <c r="I41" i="46"/>
  <c r="H41" i="46"/>
  <c r="G41" i="46"/>
  <c r="F41" i="46"/>
  <c r="E41" i="46"/>
  <c r="D41" i="46"/>
  <c r="C41" i="46"/>
  <c r="K38" i="46"/>
  <c r="B38" i="46"/>
  <c r="K31" i="46"/>
  <c r="J31" i="46"/>
  <c r="I31" i="46"/>
  <c r="G31" i="46"/>
  <c r="E31" i="46"/>
  <c r="D31" i="46"/>
  <c r="C31" i="46"/>
  <c r="H31" i="46"/>
  <c r="I30" i="46"/>
  <c r="K29" i="46"/>
  <c r="C29" i="46"/>
  <c r="F28" i="46"/>
  <c r="D28" i="46"/>
  <c r="J28" i="46"/>
  <c r="L27" i="46"/>
  <c r="K27" i="46"/>
  <c r="J27" i="46"/>
  <c r="I27" i="46"/>
  <c r="G27" i="46"/>
  <c r="F27" i="46"/>
  <c r="E27" i="46"/>
  <c r="D27" i="46"/>
  <c r="C27" i="46"/>
  <c r="H27" i="46"/>
  <c r="L26" i="46"/>
  <c r="E26" i="46"/>
  <c r="D26" i="46"/>
  <c r="J26" i="46"/>
  <c r="K25" i="46"/>
  <c r="J25" i="46"/>
  <c r="I25" i="46"/>
  <c r="G25" i="46"/>
  <c r="E25" i="46"/>
  <c r="D25" i="46"/>
  <c r="C25" i="46"/>
  <c r="H25" i="46"/>
  <c r="I24" i="46"/>
  <c r="K23" i="46"/>
  <c r="F22" i="46"/>
  <c r="D22" i="46"/>
  <c r="J22" i="46"/>
  <c r="L21" i="46"/>
  <c r="K21" i="46"/>
  <c r="J21" i="46"/>
  <c r="I21" i="46"/>
  <c r="G21" i="46"/>
  <c r="F21" i="46"/>
  <c r="E21" i="46"/>
  <c r="D21" i="46"/>
  <c r="C21" i="46"/>
  <c r="H21" i="46"/>
  <c r="L20" i="46"/>
  <c r="E20" i="46"/>
  <c r="D20" i="46"/>
  <c r="J20" i="46"/>
  <c r="L18" i="46"/>
  <c r="I18" i="46"/>
  <c r="H18" i="46"/>
  <c r="F18" i="46"/>
  <c r="C18" i="46"/>
  <c r="L48" i="45"/>
  <c r="K48" i="45"/>
  <c r="J48" i="45"/>
  <c r="I48" i="45"/>
  <c r="H48" i="45"/>
  <c r="G48" i="45"/>
  <c r="F48" i="45"/>
  <c r="E48" i="45"/>
  <c r="D48" i="45"/>
  <c r="C48" i="45"/>
  <c r="L47" i="45"/>
  <c r="D46" i="45"/>
  <c r="J46" i="45"/>
  <c r="K45" i="45"/>
  <c r="J45" i="45"/>
  <c r="I45" i="45"/>
  <c r="G45" i="45"/>
  <c r="E45" i="45"/>
  <c r="D45" i="45"/>
  <c r="C45" i="45"/>
  <c r="H45" i="45"/>
  <c r="L33" i="45"/>
  <c r="K33" i="45"/>
  <c r="J33" i="45"/>
  <c r="F33" i="45"/>
  <c r="E33" i="45"/>
  <c r="D33" i="45"/>
  <c r="I33" i="45"/>
  <c r="K32" i="45"/>
  <c r="J32" i="45"/>
  <c r="I32" i="45"/>
  <c r="G32" i="45"/>
  <c r="E32" i="45"/>
  <c r="D32" i="45"/>
  <c r="C32" i="45"/>
  <c r="H32" i="45"/>
  <c r="J31" i="45"/>
  <c r="I31" i="45"/>
  <c r="D31" i="45"/>
  <c r="C31" i="45"/>
  <c r="H31" i="45"/>
  <c r="C30" i="45"/>
  <c r="H29" i="45"/>
  <c r="G29" i="45"/>
  <c r="L28" i="45"/>
  <c r="K28" i="45"/>
  <c r="J28" i="45"/>
  <c r="I28" i="45"/>
  <c r="G28" i="45"/>
  <c r="F28" i="45"/>
  <c r="E28" i="45"/>
  <c r="D28" i="45"/>
  <c r="C28" i="45"/>
  <c r="H28" i="45"/>
  <c r="L27" i="45"/>
  <c r="K27" i="45"/>
  <c r="J27" i="45"/>
  <c r="F27" i="45"/>
  <c r="E27" i="45"/>
  <c r="D27" i="45"/>
  <c r="I27" i="45"/>
  <c r="K26" i="45"/>
  <c r="J26" i="45"/>
  <c r="I26" i="45"/>
  <c r="G26" i="45"/>
  <c r="E26" i="45"/>
  <c r="D26" i="45"/>
  <c r="C26" i="45"/>
  <c r="F47" i="45"/>
  <c r="J25" i="45"/>
  <c r="I25" i="45"/>
  <c r="D25" i="45"/>
  <c r="C25" i="45"/>
  <c r="H25" i="45"/>
  <c r="C24" i="45"/>
  <c r="H23" i="45"/>
  <c r="L22" i="45"/>
  <c r="K22" i="45"/>
  <c r="J22" i="45"/>
  <c r="I22" i="45"/>
  <c r="G22" i="45"/>
  <c r="F22" i="45"/>
  <c r="E22" i="45"/>
  <c r="D22" i="45"/>
  <c r="C22" i="45"/>
  <c r="L21" i="45"/>
  <c r="K21" i="45"/>
  <c r="J21" i="45"/>
  <c r="F21" i="45"/>
  <c r="E21" i="45"/>
  <c r="D21" i="45"/>
  <c r="B40" i="45"/>
  <c r="J40" i="45" s="1"/>
  <c r="L43" i="44"/>
  <c r="K43" i="44"/>
  <c r="J43" i="44"/>
  <c r="I43" i="44"/>
  <c r="H43" i="44"/>
  <c r="G43" i="44"/>
  <c r="F43" i="44"/>
  <c r="E43" i="44"/>
  <c r="D43" i="44"/>
  <c r="C43" i="44"/>
  <c r="I42" i="44"/>
  <c r="H42" i="44"/>
  <c r="C42" i="44"/>
  <c r="G41" i="44"/>
  <c r="B36" i="44"/>
  <c r="C36" i="44" s="1"/>
  <c r="H35" i="44"/>
  <c r="G35" i="44"/>
  <c r="B35" i="44"/>
  <c r="J31" i="44"/>
  <c r="I31" i="44"/>
  <c r="D31" i="44"/>
  <c r="C31" i="44"/>
  <c r="H31" i="44"/>
  <c r="C30" i="44"/>
  <c r="H29" i="44"/>
  <c r="G29" i="44"/>
  <c r="L28" i="44"/>
  <c r="K28" i="44"/>
  <c r="J28" i="44"/>
  <c r="I28" i="44"/>
  <c r="G28" i="44"/>
  <c r="F28" i="44"/>
  <c r="E28" i="44"/>
  <c r="D28" i="44"/>
  <c r="C28" i="44"/>
  <c r="H28" i="44"/>
  <c r="L27" i="44"/>
  <c r="K27" i="44"/>
  <c r="F27" i="44"/>
  <c r="E27" i="44"/>
  <c r="J27" i="44"/>
  <c r="K26" i="44"/>
  <c r="J26" i="44"/>
  <c r="G26" i="44"/>
  <c r="E26" i="44"/>
  <c r="D26" i="44"/>
  <c r="I26" i="44"/>
  <c r="L25" i="44"/>
  <c r="J25" i="44"/>
  <c r="I25" i="44"/>
  <c r="G25" i="44"/>
  <c r="F25" i="44"/>
  <c r="D25" i="44"/>
  <c r="C25" i="44"/>
  <c r="H25" i="44"/>
  <c r="C24" i="44"/>
  <c r="H23" i="44"/>
  <c r="G23" i="44"/>
  <c r="L22" i="44"/>
  <c r="K22" i="44"/>
  <c r="J22" i="44"/>
  <c r="I22" i="44"/>
  <c r="G22" i="44"/>
  <c r="F22" i="44"/>
  <c r="E22" i="44"/>
  <c r="D22" i="44"/>
  <c r="C22" i="44"/>
  <c r="H22" i="44"/>
  <c r="L21" i="44"/>
  <c r="K21" i="44"/>
  <c r="F21" i="44"/>
  <c r="E21" i="44"/>
  <c r="J21" i="44"/>
  <c r="K20" i="44"/>
  <c r="J20" i="44"/>
  <c r="E20" i="44"/>
  <c r="D20" i="44"/>
  <c r="I20" i="44"/>
  <c r="L19" i="44"/>
  <c r="J19" i="44"/>
  <c r="I19" i="44"/>
  <c r="G19" i="44"/>
  <c r="F19" i="44"/>
  <c r="D19" i="44"/>
  <c r="C19" i="44"/>
  <c r="B37" i="44"/>
  <c r="I37" i="44" s="1"/>
  <c r="L43" i="43"/>
  <c r="K43" i="43"/>
  <c r="J43" i="43"/>
  <c r="I43" i="43"/>
  <c r="H43" i="43"/>
  <c r="G43" i="43"/>
  <c r="F43" i="43"/>
  <c r="E43" i="43"/>
  <c r="D43" i="43"/>
  <c r="C43" i="43"/>
  <c r="L41" i="43"/>
  <c r="B37" i="43"/>
  <c r="J37" i="43" s="1"/>
  <c r="B35" i="43"/>
  <c r="L31" i="43"/>
  <c r="K31" i="43"/>
  <c r="J31" i="43"/>
  <c r="G31" i="43"/>
  <c r="F31" i="43"/>
  <c r="E31" i="43"/>
  <c r="D31" i="43"/>
  <c r="I31" i="43"/>
  <c r="L30" i="43"/>
  <c r="K30" i="43"/>
  <c r="J30" i="43"/>
  <c r="I30" i="43"/>
  <c r="F30" i="43"/>
  <c r="E30" i="43"/>
  <c r="D30" i="43"/>
  <c r="C30" i="43"/>
  <c r="H30" i="43"/>
  <c r="H29" i="43"/>
  <c r="G28" i="43"/>
  <c r="L28" i="43"/>
  <c r="L27" i="43"/>
  <c r="I27" i="43"/>
  <c r="G27" i="43"/>
  <c r="F27" i="43"/>
  <c r="C27" i="43"/>
  <c r="K27" i="43"/>
  <c r="L26" i="43"/>
  <c r="K26" i="43"/>
  <c r="F26" i="43"/>
  <c r="E26" i="43"/>
  <c r="J26" i="43"/>
  <c r="L25" i="43"/>
  <c r="K25" i="43"/>
  <c r="J25" i="43"/>
  <c r="G25" i="43"/>
  <c r="F25" i="43"/>
  <c r="E25" i="43"/>
  <c r="D25" i="43"/>
  <c r="I25" i="43"/>
  <c r="L24" i="43"/>
  <c r="K24" i="43"/>
  <c r="J24" i="43"/>
  <c r="I24" i="43"/>
  <c r="G24" i="43"/>
  <c r="F24" i="43"/>
  <c r="E24" i="43"/>
  <c r="D24" i="43"/>
  <c r="C24" i="43"/>
  <c r="L42" i="43"/>
  <c r="H23" i="43"/>
  <c r="G22" i="43"/>
  <c r="L22" i="43"/>
  <c r="L21" i="43"/>
  <c r="I21" i="43"/>
  <c r="G21" i="43"/>
  <c r="F21" i="43"/>
  <c r="C21" i="43"/>
  <c r="K21" i="43"/>
  <c r="L20" i="43"/>
  <c r="K20" i="43"/>
  <c r="F20" i="43"/>
  <c r="E20" i="43"/>
  <c r="J20" i="43"/>
  <c r="L19" i="43"/>
  <c r="K19" i="43"/>
  <c r="J19" i="43"/>
  <c r="G19" i="43"/>
  <c r="F19" i="43"/>
  <c r="E19" i="43"/>
  <c r="D19" i="43"/>
  <c r="L42" i="42"/>
  <c r="K42" i="42"/>
  <c r="J42" i="42"/>
  <c r="I42" i="42"/>
  <c r="H42" i="42"/>
  <c r="G42" i="42"/>
  <c r="F42" i="42"/>
  <c r="E42" i="42"/>
  <c r="D42" i="42"/>
  <c r="C42" i="42"/>
  <c r="H41" i="42"/>
  <c r="I37" i="42"/>
  <c r="B36" i="42"/>
  <c r="C36" i="42" s="1"/>
  <c r="B35" i="42"/>
  <c r="B34" i="42"/>
  <c r="K34" i="42" s="1"/>
  <c r="L33" i="42"/>
  <c r="B33" i="42"/>
  <c r="J33" i="42" s="1"/>
  <c r="L31" i="42"/>
  <c r="K31" i="42"/>
  <c r="J31" i="42"/>
  <c r="I31" i="42"/>
  <c r="F31" i="42"/>
  <c r="E31" i="42"/>
  <c r="D31" i="42"/>
  <c r="C31" i="42"/>
  <c r="H31" i="42"/>
  <c r="I30" i="42"/>
  <c r="H30" i="42"/>
  <c r="C30" i="42"/>
  <c r="H29" i="42"/>
  <c r="L28" i="42"/>
  <c r="I28" i="42"/>
  <c r="G28" i="42"/>
  <c r="F28" i="42"/>
  <c r="C28" i="42"/>
  <c r="K28" i="42"/>
  <c r="L27" i="42"/>
  <c r="K27" i="42"/>
  <c r="F27" i="42"/>
  <c r="E27" i="42"/>
  <c r="J27" i="42"/>
  <c r="L26" i="42"/>
  <c r="K26" i="42"/>
  <c r="J26" i="42"/>
  <c r="G26" i="42"/>
  <c r="F26" i="42"/>
  <c r="E26" i="42"/>
  <c r="D26" i="42"/>
  <c r="I26" i="42"/>
  <c r="L25" i="42"/>
  <c r="K25" i="42"/>
  <c r="J25" i="42"/>
  <c r="I25" i="42"/>
  <c r="G25" i="42"/>
  <c r="F25" i="42"/>
  <c r="E25" i="42"/>
  <c r="D25" i="42"/>
  <c r="C25" i="42"/>
  <c r="H25" i="42"/>
  <c r="I24" i="42"/>
  <c r="H24" i="42"/>
  <c r="C24" i="42"/>
  <c r="L22" i="42"/>
  <c r="I22" i="42"/>
  <c r="G22" i="42"/>
  <c r="F22" i="42"/>
  <c r="C22" i="42"/>
  <c r="K22" i="42"/>
  <c r="L21" i="42"/>
  <c r="K21" i="42"/>
  <c r="F21" i="42"/>
  <c r="E21" i="42"/>
  <c r="J21" i="42"/>
  <c r="L20" i="42"/>
  <c r="K20" i="42"/>
  <c r="J20" i="42"/>
  <c r="G20" i="42"/>
  <c r="F20" i="42"/>
  <c r="E20" i="42"/>
  <c r="D20" i="42"/>
  <c r="I20" i="42"/>
  <c r="L19" i="42"/>
  <c r="K19" i="42"/>
  <c r="J19" i="42"/>
  <c r="I19" i="42"/>
  <c r="G19" i="42"/>
  <c r="F19" i="42"/>
  <c r="E19" i="42"/>
  <c r="D19" i="42"/>
  <c r="C19" i="42"/>
  <c r="B37" i="42"/>
  <c r="J37" i="42" s="1"/>
  <c r="L40" i="41"/>
  <c r="K40" i="41"/>
  <c r="J40" i="41"/>
  <c r="I40" i="41"/>
  <c r="H40" i="41"/>
  <c r="G40" i="41"/>
  <c r="F40" i="41"/>
  <c r="E40" i="41"/>
  <c r="D40" i="41"/>
  <c r="C40" i="41"/>
  <c r="B35" i="41"/>
  <c r="C35" i="41" s="1"/>
  <c r="B34" i="41"/>
  <c r="B33" i="41"/>
  <c r="K33" i="41" s="1"/>
  <c r="B32" i="41"/>
  <c r="J32" i="41" s="1"/>
  <c r="L30" i="41"/>
  <c r="K30" i="41"/>
  <c r="J30" i="41"/>
  <c r="I30" i="41"/>
  <c r="F30" i="41"/>
  <c r="E30" i="41"/>
  <c r="D30" i="41"/>
  <c r="C30" i="41"/>
  <c r="H30" i="41"/>
  <c r="C29" i="41"/>
  <c r="L27" i="41"/>
  <c r="G27" i="41"/>
  <c r="F27" i="41"/>
  <c r="K27" i="41"/>
  <c r="L26" i="41"/>
  <c r="K26" i="41"/>
  <c r="G26" i="41"/>
  <c r="F26" i="41"/>
  <c r="E26" i="41"/>
  <c r="J26" i="41"/>
  <c r="L25" i="41"/>
  <c r="K25" i="41"/>
  <c r="J25" i="41"/>
  <c r="G25" i="41"/>
  <c r="F25" i="41"/>
  <c r="E25" i="41"/>
  <c r="D25" i="41"/>
  <c r="I25" i="41"/>
  <c r="L24" i="41"/>
  <c r="K24" i="41"/>
  <c r="J24" i="41"/>
  <c r="I24" i="41"/>
  <c r="F24" i="41"/>
  <c r="E24" i="41"/>
  <c r="D24" i="41"/>
  <c r="C24" i="41"/>
  <c r="H24" i="41"/>
  <c r="H23" i="41"/>
  <c r="H22" i="41"/>
  <c r="G22" i="41"/>
  <c r="L21" i="41"/>
  <c r="G21" i="41"/>
  <c r="F21" i="41"/>
  <c r="K21" i="41"/>
  <c r="L20" i="41"/>
  <c r="K20" i="41"/>
  <c r="G20" i="41"/>
  <c r="F20" i="41"/>
  <c r="E20" i="41"/>
  <c r="J20" i="41"/>
  <c r="L19" i="41"/>
  <c r="K19" i="41"/>
  <c r="J19" i="41"/>
  <c r="G19" i="41"/>
  <c r="F19" i="41"/>
  <c r="E19" i="41"/>
  <c r="D19" i="41"/>
  <c r="I19" i="41"/>
  <c r="L18" i="41"/>
  <c r="K18" i="41"/>
  <c r="J18" i="41"/>
  <c r="I18" i="41"/>
  <c r="G18" i="41"/>
  <c r="F18" i="41"/>
  <c r="E18" i="41"/>
  <c r="D18" i="41"/>
  <c r="C18" i="41"/>
  <c r="B36" i="41"/>
  <c r="I36" i="41" s="1"/>
  <c r="D37" i="49" l="1"/>
  <c r="J37" i="49"/>
  <c r="C39" i="49"/>
  <c r="I39" i="49"/>
  <c r="C41" i="49"/>
  <c r="I41" i="49"/>
  <c r="I38" i="48"/>
  <c r="C43" i="48"/>
  <c r="F34" i="47"/>
  <c r="H34" i="47"/>
  <c r="E46" i="45"/>
  <c r="L46" i="45"/>
  <c r="C47" i="45"/>
  <c r="K47" i="45"/>
  <c r="H40" i="45"/>
  <c r="D37" i="44"/>
  <c r="G37" i="43"/>
  <c r="H37" i="43"/>
  <c r="C41" i="43"/>
  <c r="H41" i="43"/>
  <c r="I41" i="43"/>
  <c r="F42" i="43"/>
  <c r="G42" i="43"/>
  <c r="I42" i="43"/>
  <c r="J42" i="43"/>
  <c r="E33" i="42"/>
  <c r="F33" i="42"/>
  <c r="K33" i="42"/>
  <c r="C34" i="42"/>
  <c r="F34" i="42"/>
  <c r="G34" i="42"/>
  <c r="I34" i="42"/>
  <c r="L34" i="42"/>
  <c r="E32" i="41"/>
  <c r="F32" i="41"/>
  <c r="G32" i="41"/>
  <c r="K32" i="41"/>
  <c r="L32" i="41"/>
  <c r="F33" i="41"/>
  <c r="G33" i="41"/>
  <c r="L33" i="41"/>
  <c r="G29" i="41"/>
  <c r="L29" i="41"/>
  <c r="F29" i="41"/>
  <c r="K29" i="41"/>
  <c r="E29" i="41"/>
  <c r="J29" i="41"/>
  <c r="D29" i="41"/>
  <c r="G35" i="41"/>
  <c r="L35" i="41"/>
  <c r="F35" i="41"/>
  <c r="K35" i="41"/>
  <c r="E35" i="41"/>
  <c r="J35" i="41"/>
  <c r="D35" i="41"/>
  <c r="G36" i="42"/>
  <c r="L36" i="42"/>
  <c r="F36" i="42"/>
  <c r="K36" i="42"/>
  <c r="E36" i="42"/>
  <c r="J36" i="42"/>
  <c r="D36" i="42"/>
  <c r="H36" i="41"/>
  <c r="G36" i="41"/>
  <c r="L36" i="41"/>
  <c r="F36" i="41"/>
  <c r="K36" i="41"/>
  <c r="E36" i="41"/>
  <c r="K22" i="47"/>
  <c r="E22" i="47"/>
  <c r="I22" i="47"/>
  <c r="C22" i="47"/>
  <c r="H22" i="47"/>
  <c r="G22" i="47"/>
  <c r="F22" i="47"/>
  <c r="D22" i="47"/>
  <c r="B36" i="47"/>
  <c r="J22" i="47"/>
  <c r="L22" i="47"/>
  <c r="L23" i="42"/>
  <c r="F23" i="42"/>
  <c r="B32" i="42"/>
  <c r="K23" i="42"/>
  <c r="E23" i="42"/>
  <c r="J23" i="42"/>
  <c r="D23" i="42"/>
  <c r="I23" i="42"/>
  <c r="C23" i="42"/>
  <c r="G41" i="42"/>
  <c r="C23" i="41"/>
  <c r="L28" i="41"/>
  <c r="F28" i="41"/>
  <c r="K28" i="41"/>
  <c r="E28" i="41"/>
  <c r="J28" i="41"/>
  <c r="D28" i="41"/>
  <c r="I28" i="41"/>
  <c r="C28" i="41"/>
  <c r="I29" i="41"/>
  <c r="L34" i="41"/>
  <c r="F34" i="41"/>
  <c r="K34" i="41"/>
  <c r="E34" i="41"/>
  <c r="J34" i="41"/>
  <c r="D34" i="41"/>
  <c r="I34" i="41"/>
  <c r="C34" i="41"/>
  <c r="I35" i="41"/>
  <c r="H37" i="42"/>
  <c r="G37" i="42"/>
  <c r="L37" i="42"/>
  <c r="F37" i="42"/>
  <c r="K37" i="42"/>
  <c r="E37" i="42"/>
  <c r="G23" i="42"/>
  <c r="G29" i="42"/>
  <c r="L35" i="42"/>
  <c r="F35" i="42"/>
  <c r="K35" i="42"/>
  <c r="E35" i="42"/>
  <c r="J35" i="42"/>
  <c r="D35" i="42"/>
  <c r="I35" i="42"/>
  <c r="C35" i="42"/>
  <c r="I36" i="42"/>
  <c r="J36" i="41"/>
  <c r="J35" i="43"/>
  <c r="D35" i="43"/>
  <c r="G35" i="43"/>
  <c r="I35" i="43"/>
  <c r="H35" i="43"/>
  <c r="C35" i="43"/>
  <c r="F35" i="43"/>
  <c r="E35" i="43"/>
  <c r="L35" i="43"/>
  <c r="G28" i="41"/>
  <c r="G34" i="41"/>
  <c r="C36" i="41"/>
  <c r="H23" i="42"/>
  <c r="G35" i="42"/>
  <c r="C37" i="42"/>
  <c r="G31" i="50"/>
  <c r="J31" i="50"/>
  <c r="D31" i="50"/>
  <c r="I31" i="50"/>
  <c r="C31" i="50"/>
  <c r="K31" i="50"/>
  <c r="H31" i="50"/>
  <c r="F31" i="50"/>
  <c r="B43" i="50"/>
  <c r="E31" i="50"/>
  <c r="L31" i="50"/>
  <c r="L41" i="42"/>
  <c r="F41" i="42"/>
  <c r="K41" i="42"/>
  <c r="E41" i="42"/>
  <c r="J41" i="42"/>
  <c r="D41" i="42"/>
  <c r="I41" i="42"/>
  <c r="C41" i="42"/>
  <c r="G23" i="41"/>
  <c r="L23" i="41"/>
  <c r="F23" i="41"/>
  <c r="K23" i="41"/>
  <c r="E23" i="41"/>
  <c r="J23" i="41"/>
  <c r="D23" i="41"/>
  <c r="H29" i="41"/>
  <c r="H35" i="41"/>
  <c r="L29" i="42"/>
  <c r="F29" i="42"/>
  <c r="K29" i="42"/>
  <c r="E29" i="42"/>
  <c r="J29" i="42"/>
  <c r="D29" i="42"/>
  <c r="I29" i="42"/>
  <c r="C29" i="42"/>
  <c r="H36" i="42"/>
  <c r="G29" i="43"/>
  <c r="L29" i="43"/>
  <c r="F29" i="43"/>
  <c r="I29" i="43"/>
  <c r="C29" i="43"/>
  <c r="K29" i="43"/>
  <c r="E29" i="43"/>
  <c r="J29" i="43"/>
  <c r="D29" i="43"/>
  <c r="K35" i="43"/>
  <c r="L22" i="41"/>
  <c r="F22" i="41"/>
  <c r="B31" i="41"/>
  <c r="K22" i="41"/>
  <c r="E22" i="41"/>
  <c r="J22" i="41"/>
  <c r="D22" i="41"/>
  <c r="I22" i="41"/>
  <c r="C22" i="41"/>
  <c r="I23" i="41"/>
  <c r="H28" i="41"/>
  <c r="H34" i="41"/>
  <c r="D36" i="41"/>
  <c r="G24" i="42"/>
  <c r="L24" i="42"/>
  <c r="F24" i="42"/>
  <c r="K24" i="42"/>
  <c r="E24" i="42"/>
  <c r="J24" i="42"/>
  <c r="D24" i="42"/>
  <c r="G30" i="42"/>
  <c r="L30" i="42"/>
  <c r="F30" i="42"/>
  <c r="K30" i="42"/>
  <c r="E30" i="42"/>
  <c r="J30" i="42"/>
  <c r="D30" i="42"/>
  <c r="H35" i="42"/>
  <c r="D37" i="42"/>
  <c r="G23" i="43"/>
  <c r="L23" i="43"/>
  <c r="F23" i="43"/>
  <c r="B32" i="43"/>
  <c r="K23" i="43"/>
  <c r="E23" i="43"/>
  <c r="I23" i="43"/>
  <c r="J23" i="43"/>
  <c r="D23" i="43"/>
  <c r="C23" i="43"/>
  <c r="L43" i="45"/>
  <c r="F43" i="45"/>
  <c r="J43" i="45"/>
  <c r="D43" i="45"/>
  <c r="I43" i="45"/>
  <c r="H43" i="45"/>
  <c r="G43" i="45"/>
  <c r="E43" i="45"/>
  <c r="C43" i="45"/>
  <c r="K43" i="45"/>
  <c r="H21" i="41"/>
  <c r="H27" i="41"/>
  <c r="H33" i="41"/>
  <c r="B39" i="41"/>
  <c r="G21" i="42"/>
  <c r="H22" i="42"/>
  <c r="G27" i="42"/>
  <c r="H28" i="42"/>
  <c r="G33" i="42"/>
  <c r="H34" i="42"/>
  <c r="B40" i="42"/>
  <c r="G20" i="43"/>
  <c r="H21" i="43"/>
  <c r="C22" i="43"/>
  <c r="I22" i="43"/>
  <c r="G26" i="43"/>
  <c r="H27" i="43"/>
  <c r="C28" i="43"/>
  <c r="I28" i="43"/>
  <c r="B33" i="43"/>
  <c r="J41" i="43"/>
  <c r="D41" i="43"/>
  <c r="G41" i="43"/>
  <c r="K41" i="43"/>
  <c r="G24" i="44"/>
  <c r="L24" i="44"/>
  <c r="F24" i="44"/>
  <c r="K24" i="44"/>
  <c r="E24" i="44"/>
  <c r="J24" i="44"/>
  <c r="D24" i="44"/>
  <c r="G30" i="44"/>
  <c r="L30" i="44"/>
  <c r="F30" i="44"/>
  <c r="K30" i="44"/>
  <c r="E30" i="44"/>
  <c r="J30" i="44"/>
  <c r="D30" i="44"/>
  <c r="J37" i="44"/>
  <c r="L41" i="44"/>
  <c r="F41" i="44"/>
  <c r="K41" i="44"/>
  <c r="E41" i="44"/>
  <c r="J41" i="44"/>
  <c r="D41" i="44"/>
  <c r="I41" i="44"/>
  <c r="C41" i="44"/>
  <c r="G30" i="45"/>
  <c r="L30" i="45"/>
  <c r="F30" i="45"/>
  <c r="K30" i="45"/>
  <c r="E30" i="45"/>
  <c r="J30" i="45"/>
  <c r="D30" i="45"/>
  <c r="G30" i="46"/>
  <c r="K30" i="46"/>
  <c r="E30" i="46"/>
  <c r="H30" i="46"/>
  <c r="F30" i="46"/>
  <c r="D30" i="46"/>
  <c r="L30" i="46"/>
  <c r="C30" i="46"/>
  <c r="L29" i="47"/>
  <c r="F29" i="47"/>
  <c r="K29" i="47"/>
  <c r="E29" i="47"/>
  <c r="J29" i="47"/>
  <c r="D29" i="47"/>
  <c r="B41" i="47"/>
  <c r="I29" i="47"/>
  <c r="H29" i="47"/>
  <c r="G29" i="47"/>
  <c r="C29" i="47"/>
  <c r="L35" i="47"/>
  <c r="F35" i="47"/>
  <c r="K35" i="47"/>
  <c r="E35" i="47"/>
  <c r="J35" i="47"/>
  <c r="D35" i="47"/>
  <c r="I35" i="47"/>
  <c r="H35" i="47"/>
  <c r="G35" i="47"/>
  <c r="C35" i="47"/>
  <c r="G22" i="48"/>
  <c r="B36" i="48"/>
  <c r="L22" i="48"/>
  <c r="F22" i="48"/>
  <c r="K22" i="48"/>
  <c r="E22" i="48"/>
  <c r="I22" i="48"/>
  <c r="H22" i="48"/>
  <c r="D22" i="48"/>
  <c r="C22" i="48"/>
  <c r="H33" i="48"/>
  <c r="L33" i="48"/>
  <c r="F33" i="48"/>
  <c r="G33" i="48"/>
  <c r="E33" i="48"/>
  <c r="D33" i="48"/>
  <c r="K33" i="48"/>
  <c r="J33" i="48"/>
  <c r="I33" i="48"/>
  <c r="H28" i="43"/>
  <c r="G36" i="44"/>
  <c r="L36" i="44"/>
  <c r="F36" i="44"/>
  <c r="K36" i="44"/>
  <c r="E36" i="44"/>
  <c r="J36" i="44"/>
  <c r="D36" i="44"/>
  <c r="G24" i="45"/>
  <c r="L24" i="45"/>
  <c r="F24" i="45"/>
  <c r="K24" i="45"/>
  <c r="E24" i="45"/>
  <c r="J24" i="45"/>
  <c r="D24" i="45"/>
  <c r="G24" i="46"/>
  <c r="K24" i="46"/>
  <c r="E24" i="46"/>
  <c r="H24" i="46"/>
  <c r="F24" i="46"/>
  <c r="D24" i="46"/>
  <c r="L24" i="46"/>
  <c r="C24" i="46"/>
  <c r="G24" i="47"/>
  <c r="L24" i="47"/>
  <c r="F24" i="47"/>
  <c r="B33" i="47"/>
  <c r="K24" i="47"/>
  <c r="E24" i="47"/>
  <c r="I24" i="47"/>
  <c r="H24" i="47"/>
  <c r="D24" i="47"/>
  <c r="C24" i="47"/>
  <c r="K32" i="48"/>
  <c r="E32" i="48"/>
  <c r="J32" i="48"/>
  <c r="D32" i="48"/>
  <c r="I32" i="48"/>
  <c r="C32" i="48"/>
  <c r="L32" i="48"/>
  <c r="H32" i="48"/>
  <c r="G32" i="48"/>
  <c r="F32" i="48"/>
  <c r="H20" i="41"/>
  <c r="C21" i="41"/>
  <c r="I21" i="41"/>
  <c r="H26" i="41"/>
  <c r="C27" i="41"/>
  <c r="I27" i="41"/>
  <c r="H32" i="41"/>
  <c r="C33" i="41"/>
  <c r="I33" i="41"/>
  <c r="B38" i="41"/>
  <c r="H21" i="42"/>
  <c r="H27" i="42"/>
  <c r="H33" i="42"/>
  <c r="B39" i="42"/>
  <c r="H20" i="43"/>
  <c r="D22" i="43"/>
  <c r="J22" i="43"/>
  <c r="H26" i="43"/>
  <c r="D28" i="43"/>
  <c r="J28" i="43"/>
  <c r="L37" i="43"/>
  <c r="F37" i="43"/>
  <c r="I37" i="43"/>
  <c r="C37" i="43"/>
  <c r="K37" i="43"/>
  <c r="H36" i="44"/>
  <c r="H24" i="45"/>
  <c r="G44" i="45"/>
  <c r="K44" i="45"/>
  <c r="E44" i="45"/>
  <c r="H44" i="45"/>
  <c r="F44" i="45"/>
  <c r="D44" i="45"/>
  <c r="L44" i="45"/>
  <c r="C44" i="45"/>
  <c r="J24" i="46"/>
  <c r="G30" i="47"/>
  <c r="L30" i="47"/>
  <c r="F30" i="47"/>
  <c r="K30" i="47"/>
  <c r="E30" i="47"/>
  <c r="J30" i="47"/>
  <c r="I30" i="47"/>
  <c r="H30" i="47"/>
  <c r="D30" i="47"/>
  <c r="K40" i="47"/>
  <c r="E40" i="47"/>
  <c r="J40" i="47"/>
  <c r="D40" i="47"/>
  <c r="I40" i="47"/>
  <c r="C40" i="47"/>
  <c r="L40" i="47"/>
  <c r="H40" i="47"/>
  <c r="G40" i="47"/>
  <c r="L27" i="48"/>
  <c r="F27" i="48"/>
  <c r="K27" i="48"/>
  <c r="E27" i="48"/>
  <c r="J27" i="48"/>
  <c r="D27" i="48"/>
  <c r="I27" i="48"/>
  <c r="H27" i="48"/>
  <c r="G27" i="48"/>
  <c r="C27" i="48"/>
  <c r="B40" i="43"/>
  <c r="H19" i="41"/>
  <c r="C20" i="41"/>
  <c r="I20" i="41"/>
  <c r="D21" i="41"/>
  <c r="J21" i="41"/>
  <c r="G24" i="41"/>
  <c r="H25" i="41"/>
  <c r="C26" i="41"/>
  <c r="I26" i="41"/>
  <c r="D27" i="41"/>
  <c r="J27" i="41"/>
  <c r="G30" i="41"/>
  <c r="C32" i="41"/>
  <c r="I32" i="41"/>
  <c r="D33" i="41"/>
  <c r="J33" i="41"/>
  <c r="B37" i="41"/>
  <c r="H20" i="42"/>
  <c r="C21" i="42"/>
  <c r="I21" i="42"/>
  <c r="D22" i="42"/>
  <c r="J22" i="42"/>
  <c r="H26" i="42"/>
  <c r="C27" i="42"/>
  <c r="I27" i="42"/>
  <c r="D28" i="42"/>
  <c r="J28" i="42"/>
  <c r="G31" i="42"/>
  <c r="C33" i="42"/>
  <c r="I33" i="42"/>
  <c r="D34" i="42"/>
  <c r="J34" i="42"/>
  <c r="B38" i="42"/>
  <c r="B39" i="43"/>
  <c r="B36" i="43"/>
  <c r="H19" i="43"/>
  <c r="C20" i="43"/>
  <c r="I20" i="43"/>
  <c r="D21" i="43"/>
  <c r="J21" i="43"/>
  <c r="E22" i="43"/>
  <c r="K22" i="43"/>
  <c r="H25" i="43"/>
  <c r="C26" i="43"/>
  <c r="I26" i="43"/>
  <c r="D27" i="43"/>
  <c r="J27" i="43"/>
  <c r="E28" i="43"/>
  <c r="K28" i="43"/>
  <c r="G30" i="43"/>
  <c r="H31" i="43"/>
  <c r="D37" i="43"/>
  <c r="B38" i="43"/>
  <c r="E41" i="43"/>
  <c r="C42" i="43"/>
  <c r="H24" i="44"/>
  <c r="H30" i="44"/>
  <c r="L35" i="44"/>
  <c r="F35" i="44"/>
  <c r="K35" i="44"/>
  <c r="E35" i="44"/>
  <c r="J35" i="44"/>
  <c r="D35" i="44"/>
  <c r="I35" i="44"/>
  <c r="C35" i="44"/>
  <c r="I36" i="44"/>
  <c r="H41" i="44"/>
  <c r="L23" i="45"/>
  <c r="F23" i="45"/>
  <c r="K23" i="45"/>
  <c r="E23" i="45"/>
  <c r="J23" i="45"/>
  <c r="D23" i="45"/>
  <c r="I23" i="45"/>
  <c r="C23" i="45"/>
  <c r="I24" i="45"/>
  <c r="H30" i="45"/>
  <c r="I44" i="45"/>
  <c r="L23" i="46"/>
  <c r="F23" i="46"/>
  <c r="J23" i="46"/>
  <c r="D23" i="46"/>
  <c r="B32" i="46"/>
  <c r="I23" i="46"/>
  <c r="H23" i="46"/>
  <c r="G23" i="46"/>
  <c r="E23" i="46"/>
  <c r="J30" i="46"/>
  <c r="I38" i="46"/>
  <c r="C38" i="46"/>
  <c r="G38" i="46"/>
  <c r="H38" i="46"/>
  <c r="F38" i="46"/>
  <c r="E38" i="46"/>
  <c r="L38" i="46"/>
  <c r="D38" i="46"/>
  <c r="C30" i="47"/>
  <c r="F40" i="47"/>
  <c r="G28" i="48"/>
  <c r="L28" i="48"/>
  <c r="F28" i="48"/>
  <c r="K28" i="48"/>
  <c r="E28" i="48"/>
  <c r="J28" i="48"/>
  <c r="I28" i="48"/>
  <c r="H28" i="48"/>
  <c r="D28" i="48"/>
  <c r="H22" i="43"/>
  <c r="H37" i="44"/>
  <c r="G37" i="44"/>
  <c r="L37" i="44"/>
  <c r="F37" i="44"/>
  <c r="K37" i="44"/>
  <c r="E37" i="44"/>
  <c r="H18" i="41"/>
  <c r="C19" i="41"/>
  <c r="D20" i="41"/>
  <c r="E21" i="41"/>
  <c r="C25" i="41"/>
  <c r="D26" i="41"/>
  <c r="E27" i="41"/>
  <c r="D32" i="41"/>
  <c r="E33" i="41"/>
  <c r="H19" i="42"/>
  <c r="C20" i="42"/>
  <c r="D21" i="42"/>
  <c r="E22" i="42"/>
  <c r="C26" i="42"/>
  <c r="D27" i="42"/>
  <c r="E28" i="42"/>
  <c r="D33" i="42"/>
  <c r="E34" i="42"/>
  <c r="C19" i="43"/>
  <c r="I19" i="43"/>
  <c r="D20" i="43"/>
  <c r="E21" i="43"/>
  <c r="F22" i="43"/>
  <c r="K42" i="43"/>
  <c r="E42" i="43"/>
  <c r="H42" i="43"/>
  <c r="H24" i="43"/>
  <c r="C25" i="43"/>
  <c r="D26" i="43"/>
  <c r="E27" i="43"/>
  <c r="F28" i="43"/>
  <c r="C31" i="43"/>
  <c r="B34" i="43"/>
  <c r="E37" i="43"/>
  <c r="F41" i="43"/>
  <c r="D42" i="43"/>
  <c r="L23" i="44"/>
  <c r="F23" i="44"/>
  <c r="B32" i="44"/>
  <c r="K23" i="44"/>
  <c r="E23" i="44"/>
  <c r="J23" i="44"/>
  <c r="D23" i="44"/>
  <c r="I23" i="44"/>
  <c r="C23" i="44"/>
  <c r="I24" i="44"/>
  <c r="L29" i="44"/>
  <c r="F29" i="44"/>
  <c r="K29" i="44"/>
  <c r="E29" i="44"/>
  <c r="J29" i="44"/>
  <c r="D29" i="44"/>
  <c r="I29" i="44"/>
  <c r="C29" i="44"/>
  <c r="I30" i="44"/>
  <c r="C37" i="44"/>
  <c r="G42" i="44"/>
  <c r="L42" i="44"/>
  <c r="F42" i="44"/>
  <c r="K42" i="44"/>
  <c r="E42" i="44"/>
  <c r="J42" i="44"/>
  <c r="D42" i="44"/>
  <c r="I40" i="45"/>
  <c r="C40" i="45"/>
  <c r="G40" i="45"/>
  <c r="F40" i="45"/>
  <c r="E40" i="45"/>
  <c r="L40" i="45"/>
  <c r="D40" i="45"/>
  <c r="K40" i="45"/>
  <c r="G23" i="45"/>
  <c r="L29" i="45"/>
  <c r="F29" i="45"/>
  <c r="K29" i="45"/>
  <c r="E29" i="45"/>
  <c r="J29" i="45"/>
  <c r="D29" i="45"/>
  <c r="I29" i="45"/>
  <c r="C29" i="45"/>
  <c r="I30" i="45"/>
  <c r="J44" i="45"/>
  <c r="C23" i="46"/>
  <c r="L29" i="46"/>
  <c r="F29" i="46"/>
  <c r="J29" i="46"/>
  <c r="D29" i="46"/>
  <c r="I29" i="46"/>
  <c r="H29" i="46"/>
  <c r="G29" i="46"/>
  <c r="E29" i="46"/>
  <c r="J38" i="46"/>
  <c r="I20" i="47"/>
  <c r="C20" i="47"/>
  <c r="G20" i="47"/>
  <c r="H20" i="47"/>
  <c r="F20" i="47"/>
  <c r="E20" i="47"/>
  <c r="L20" i="47"/>
  <c r="D20" i="47"/>
  <c r="C28" i="48"/>
  <c r="E19" i="44"/>
  <c r="K19" i="44"/>
  <c r="F20" i="44"/>
  <c r="L20" i="44"/>
  <c r="G21" i="44"/>
  <c r="E25" i="44"/>
  <c r="K25" i="44"/>
  <c r="F26" i="44"/>
  <c r="L26" i="44"/>
  <c r="G27" i="44"/>
  <c r="E31" i="44"/>
  <c r="K31" i="44"/>
  <c r="B34" i="44"/>
  <c r="B40" i="44"/>
  <c r="G21" i="45"/>
  <c r="B35" i="45"/>
  <c r="H22" i="45"/>
  <c r="E25" i="45"/>
  <c r="K25" i="45"/>
  <c r="F26" i="45"/>
  <c r="L26" i="45"/>
  <c r="G27" i="45"/>
  <c r="E31" i="45"/>
  <c r="K31" i="45"/>
  <c r="F32" i="45"/>
  <c r="L32" i="45"/>
  <c r="G33" i="45"/>
  <c r="B34" i="45"/>
  <c r="F46" i="45"/>
  <c r="E47" i="45"/>
  <c r="B37" i="46"/>
  <c r="G18" i="46"/>
  <c r="B39" i="46"/>
  <c r="K18" i="46"/>
  <c r="E18" i="46"/>
  <c r="J18" i="46"/>
  <c r="F20" i="46"/>
  <c r="G22" i="46"/>
  <c r="F26" i="46"/>
  <c r="G28" i="46"/>
  <c r="B34" i="46"/>
  <c r="L23" i="47"/>
  <c r="F23" i="47"/>
  <c r="K23" i="47"/>
  <c r="E23" i="47"/>
  <c r="J23" i="47"/>
  <c r="D23" i="47"/>
  <c r="K28" i="47"/>
  <c r="E28" i="47"/>
  <c r="J28" i="47"/>
  <c r="D28" i="47"/>
  <c r="I28" i="47"/>
  <c r="C28" i="47"/>
  <c r="K34" i="47"/>
  <c r="E34" i="47"/>
  <c r="J34" i="47"/>
  <c r="D34" i="47"/>
  <c r="I34" i="47"/>
  <c r="C34" i="47"/>
  <c r="L21" i="48"/>
  <c r="F21" i="48"/>
  <c r="K21" i="48"/>
  <c r="E21" i="48"/>
  <c r="B34" i="48"/>
  <c r="J21" i="48"/>
  <c r="D21" i="48"/>
  <c r="K26" i="48"/>
  <c r="E26" i="48"/>
  <c r="J26" i="48"/>
  <c r="D26" i="48"/>
  <c r="I26" i="48"/>
  <c r="C26" i="48"/>
  <c r="G20" i="44"/>
  <c r="H21" i="44"/>
  <c r="H27" i="44"/>
  <c r="F31" i="44"/>
  <c r="L31" i="44"/>
  <c r="B33" i="44"/>
  <c r="B39" i="44"/>
  <c r="B39" i="45"/>
  <c r="B41" i="45"/>
  <c r="H21" i="45"/>
  <c r="F25" i="45"/>
  <c r="L25" i="45"/>
  <c r="H27" i="45"/>
  <c r="F31" i="45"/>
  <c r="L31" i="45"/>
  <c r="H33" i="45"/>
  <c r="B36" i="45"/>
  <c r="H46" i="45"/>
  <c r="H20" i="46"/>
  <c r="H22" i="46"/>
  <c r="H26" i="46"/>
  <c r="H28" i="46"/>
  <c r="B35" i="46"/>
  <c r="K20" i="48"/>
  <c r="E20" i="48"/>
  <c r="J20" i="48"/>
  <c r="D20" i="48"/>
  <c r="I20" i="48"/>
  <c r="C20" i="48"/>
  <c r="K42" i="48"/>
  <c r="E42" i="48"/>
  <c r="J42" i="48"/>
  <c r="D42" i="48"/>
  <c r="I42" i="48"/>
  <c r="C42" i="48"/>
  <c r="L42" i="48"/>
  <c r="H42" i="48"/>
  <c r="G42" i="48"/>
  <c r="G23" i="49"/>
  <c r="L23" i="49"/>
  <c r="F23" i="49"/>
  <c r="K23" i="49"/>
  <c r="E23" i="49"/>
  <c r="J23" i="49"/>
  <c r="D23" i="49"/>
  <c r="I23" i="49"/>
  <c r="H23" i="49"/>
  <c r="C23" i="49"/>
  <c r="J40" i="50"/>
  <c r="D40" i="50"/>
  <c r="G40" i="50"/>
  <c r="L40" i="50"/>
  <c r="F40" i="50"/>
  <c r="E40" i="50"/>
  <c r="C40" i="50"/>
  <c r="K40" i="50"/>
  <c r="H40" i="50"/>
  <c r="G22" i="50"/>
  <c r="F22" i="50"/>
  <c r="L22" i="50"/>
  <c r="E22" i="50"/>
  <c r="K22" i="50"/>
  <c r="D22" i="50"/>
  <c r="J22" i="50"/>
  <c r="C22" i="50"/>
  <c r="I22" i="50"/>
  <c r="H22" i="50"/>
  <c r="H20" i="44"/>
  <c r="C21" i="44"/>
  <c r="I21" i="44"/>
  <c r="H26" i="44"/>
  <c r="C27" i="44"/>
  <c r="I27" i="44"/>
  <c r="G31" i="44"/>
  <c r="B38" i="44"/>
  <c r="C21" i="45"/>
  <c r="I21" i="45"/>
  <c r="G25" i="45"/>
  <c r="J47" i="45"/>
  <c r="D47" i="45"/>
  <c r="H47" i="45"/>
  <c r="H26" i="45"/>
  <c r="C27" i="45"/>
  <c r="G31" i="45"/>
  <c r="C33" i="45"/>
  <c r="B37" i="45"/>
  <c r="G47" i="45"/>
  <c r="D18" i="46"/>
  <c r="B36" i="46"/>
  <c r="B40" i="46"/>
  <c r="G23" i="47"/>
  <c r="G28" i="47"/>
  <c r="G34" i="47"/>
  <c r="G42" i="47"/>
  <c r="L42" i="47"/>
  <c r="F42" i="47"/>
  <c r="K42" i="47"/>
  <c r="E42" i="47"/>
  <c r="F20" i="48"/>
  <c r="G21" i="48"/>
  <c r="G26" i="48"/>
  <c r="G38" i="48"/>
  <c r="L38" i="48"/>
  <c r="F38" i="48"/>
  <c r="K38" i="48"/>
  <c r="E38" i="48"/>
  <c r="H38" i="48"/>
  <c r="D38" i="48"/>
  <c r="C38" i="48"/>
  <c r="F42" i="48"/>
  <c r="L40" i="49"/>
  <c r="F40" i="49"/>
  <c r="K40" i="49"/>
  <c r="D40" i="49"/>
  <c r="J40" i="49"/>
  <c r="C40" i="49"/>
  <c r="I40" i="49"/>
  <c r="H40" i="49"/>
  <c r="K33" i="49"/>
  <c r="E33" i="49"/>
  <c r="I33" i="49"/>
  <c r="H33" i="49"/>
  <c r="G33" i="49"/>
  <c r="F33" i="49"/>
  <c r="J33" i="49"/>
  <c r="D33" i="49"/>
  <c r="C33" i="49"/>
  <c r="I40" i="50"/>
  <c r="H19" i="44"/>
  <c r="C20" i="44"/>
  <c r="D21" i="44"/>
  <c r="C26" i="44"/>
  <c r="D27" i="44"/>
  <c r="B38" i="45"/>
  <c r="B42" i="45"/>
  <c r="I46" i="45"/>
  <c r="C46" i="45"/>
  <c r="G46" i="45"/>
  <c r="K46" i="45"/>
  <c r="I47" i="45"/>
  <c r="I20" i="46"/>
  <c r="C20" i="46"/>
  <c r="B33" i="46"/>
  <c r="G20" i="46"/>
  <c r="K20" i="46"/>
  <c r="K22" i="46"/>
  <c r="E22" i="46"/>
  <c r="I22" i="46"/>
  <c r="C22" i="46"/>
  <c r="L22" i="46"/>
  <c r="I26" i="46"/>
  <c r="C26" i="46"/>
  <c r="G26" i="46"/>
  <c r="K26" i="46"/>
  <c r="K28" i="46"/>
  <c r="E28" i="46"/>
  <c r="I28" i="46"/>
  <c r="C28" i="46"/>
  <c r="L28" i="46"/>
  <c r="B37" i="47"/>
  <c r="G20" i="48"/>
  <c r="L43" i="48"/>
  <c r="F43" i="48"/>
  <c r="K43" i="48"/>
  <c r="E43" i="48"/>
  <c r="J43" i="48"/>
  <c r="D43" i="48"/>
  <c r="I43" i="48"/>
  <c r="H43" i="48"/>
  <c r="E40" i="49"/>
  <c r="F45" i="45"/>
  <c r="L45" i="45"/>
  <c r="F25" i="46"/>
  <c r="L25" i="46"/>
  <c r="F31" i="46"/>
  <c r="L31" i="46"/>
  <c r="F19" i="47"/>
  <c r="L19" i="47"/>
  <c r="F25" i="47"/>
  <c r="L25" i="47"/>
  <c r="G26" i="47"/>
  <c r="F31" i="47"/>
  <c r="L31" i="47"/>
  <c r="G32" i="47"/>
  <c r="G38" i="47"/>
  <c r="B39" i="47"/>
  <c r="B39" i="48"/>
  <c r="B40" i="48"/>
  <c r="B41" i="48"/>
  <c r="B35" i="48"/>
  <c r="H19" i="48"/>
  <c r="F23" i="48"/>
  <c r="L23" i="48"/>
  <c r="G24" i="48"/>
  <c r="F29" i="48"/>
  <c r="L29" i="48"/>
  <c r="G30" i="48"/>
  <c r="B37" i="48"/>
  <c r="I37" i="49"/>
  <c r="C37" i="49"/>
  <c r="H37" i="49"/>
  <c r="G37" i="49"/>
  <c r="F37" i="49"/>
  <c r="L37" i="49"/>
  <c r="E37" i="49"/>
  <c r="K39" i="49"/>
  <c r="E39" i="49"/>
  <c r="H39" i="49"/>
  <c r="G39" i="49"/>
  <c r="F39" i="49"/>
  <c r="L39" i="49"/>
  <c r="D39" i="49"/>
  <c r="G41" i="49"/>
  <c r="H41" i="49"/>
  <c r="F41" i="49"/>
  <c r="L41" i="49"/>
  <c r="E41" i="49"/>
  <c r="K41" i="49"/>
  <c r="D41" i="49"/>
  <c r="J46" i="50"/>
  <c r="D46" i="50"/>
  <c r="G46" i="50"/>
  <c r="L46" i="50"/>
  <c r="F46" i="50"/>
  <c r="I46" i="50"/>
  <c r="H46" i="50"/>
  <c r="E46" i="50"/>
  <c r="C46" i="50"/>
  <c r="H26" i="47"/>
  <c r="H32" i="47"/>
  <c r="H38" i="47"/>
  <c r="H24" i="48"/>
  <c r="H30" i="48"/>
  <c r="I33" i="50"/>
  <c r="C33" i="50"/>
  <c r="L33" i="50"/>
  <c r="F33" i="50"/>
  <c r="K33" i="50"/>
  <c r="E33" i="50"/>
  <c r="J33" i="50"/>
  <c r="H33" i="50"/>
  <c r="G33" i="50"/>
  <c r="D33" i="50"/>
  <c r="H19" i="47"/>
  <c r="C26" i="47"/>
  <c r="C32" i="47"/>
  <c r="C38" i="47"/>
  <c r="C24" i="48"/>
  <c r="C30" i="48"/>
  <c r="L22" i="49"/>
  <c r="F22" i="49"/>
  <c r="K22" i="49"/>
  <c r="E22" i="49"/>
  <c r="J22" i="49"/>
  <c r="D22" i="49"/>
  <c r="I22" i="49"/>
  <c r="C22" i="49"/>
  <c r="L28" i="49"/>
  <c r="F28" i="49"/>
  <c r="H28" i="49"/>
  <c r="G28" i="49"/>
  <c r="E28" i="49"/>
  <c r="K28" i="49"/>
  <c r="D28" i="49"/>
  <c r="J34" i="50"/>
  <c r="D34" i="50"/>
  <c r="G34" i="50"/>
  <c r="L34" i="50"/>
  <c r="F34" i="50"/>
  <c r="K34" i="50"/>
  <c r="I34" i="50"/>
  <c r="H34" i="50"/>
  <c r="E34" i="50"/>
  <c r="H21" i="49"/>
  <c r="H27" i="49"/>
  <c r="J32" i="49"/>
  <c r="D32" i="49"/>
  <c r="I32" i="49"/>
  <c r="B34" i="49"/>
  <c r="I43" i="49"/>
  <c r="C43" i="49"/>
  <c r="J43" i="49"/>
  <c r="I45" i="50"/>
  <c r="C45" i="50"/>
  <c r="L45" i="50"/>
  <c r="F45" i="50"/>
  <c r="K45" i="50"/>
  <c r="E45" i="50"/>
  <c r="G19" i="49"/>
  <c r="C21" i="49"/>
  <c r="I21" i="49"/>
  <c r="F24" i="49"/>
  <c r="L24" i="49"/>
  <c r="G25" i="49"/>
  <c r="H26" i="49"/>
  <c r="C27" i="49"/>
  <c r="I27" i="49"/>
  <c r="I29" i="49"/>
  <c r="G31" i="49"/>
  <c r="C32" i="49"/>
  <c r="K32" i="49"/>
  <c r="B38" i="49"/>
  <c r="D43" i="49"/>
  <c r="K43" i="49"/>
  <c r="G25" i="50"/>
  <c r="J25" i="50"/>
  <c r="D25" i="50"/>
  <c r="I25" i="50"/>
  <c r="C25" i="50"/>
  <c r="J28" i="50"/>
  <c r="D28" i="50"/>
  <c r="G28" i="50"/>
  <c r="L28" i="50"/>
  <c r="F28" i="50"/>
  <c r="D45" i="50"/>
  <c r="B36" i="49"/>
  <c r="H19" i="49"/>
  <c r="D21" i="49"/>
  <c r="J21" i="49"/>
  <c r="G24" i="49"/>
  <c r="H25" i="49"/>
  <c r="C26" i="49"/>
  <c r="I26" i="49"/>
  <c r="D27" i="49"/>
  <c r="J27" i="49"/>
  <c r="C29" i="49"/>
  <c r="J29" i="49"/>
  <c r="E32" i="49"/>
  <c r="L32" i="49"/>
  <c r="E43" i="49"/>
  <c r="L43" i="49"/>
  <c r="B38" i="50"/>
  <c r="B41" i="50"/>
  <c r="L21" i="50"/>
  <c r="F21" i="50"/>
  <c r="B42" i="50"/>
  <c r="I21" i="50"/>
  <c r="E25" i="50"/>
  <c r="I27" i="50"/>
  <c r="C27" i="50"/>
  <c r="L27" i="50"/>
  <c r="F27" i="50"/>
  <c r="K27" i="50"/>
  <c r="E27" i="50"/>
  <c r="C28" i="50"/>
  <c r="B39" i="50"/>
  <c r="G45" i="50"/>
  <c r="E21" i="49"/>
  <c r="H24" i="49"/>
  <c r="C25" i="49"/>
  <c r="D26" i="49"/>
  <c r="E27" i="49"/>
  <c r="L27" i="49"/>
  <c r="D29" i="49"/>
  <c r="K29" i="49"/>
  <c r="I31" i="49"/>
  <c r="C31" i="49"/>
  <c r="J31" i="49"/>
  <c r="F32" i="49"/>
  <c r="B35" i="49"/>
  <c r="F43" i="49"/>
  <c r="C21" i="50"/>
  <c r="J21" i="50"/>
  <c r="F25" i="50"/>
  <c r="D27" i="50"/>
  <c r="E28" i="50"/>
  <c r="B37" i="50"/>
  <c r="H45" i="50"/>
  <c r="H24" i="50"/>
  <c r="J26" i="50"/>
  <c r="H30" i="50"/>
  <c r="D32" i="50"/>
  <c r="J32" i="50"/>
  <c r="B36" i="50"/>
  <c r="D44" i="50"/>
  <c r="J44" i="50"/>
  <c r="C24" i="50"/>
  <c r="I24" i="50"/>
  <c r="E26" i="50"/>
  <c r="K26" i="50"/>
  <c r="C30" i="50"/>
  <c r="I30" i="50"/>
  <c r="E32" i="50"/>
  <c r="K32" i="50"/>
  <c r="B35" i="50"/>
  <c r="E44" i="50"/>
  <c r="K44" i="50"/>
  <c r="F24" i="50"/>
  <c r="F30" i="50"/>
  <c r="I39" i="50" l="1"/>
  <c r="C39" i="50"/>
  <c r="L39" i="50"/>
  <c r="F39" i="50"/>
  <c r="K39" i="50"/>
  <c r="E39" i="50"/>
  <c r="D39" i="50"/>
  <c r="J39" i="50"/>
  <c r="H39" i="50"/>
  <c r="G39" i="50"/>
  <c r="J20" i="49"/>
  <c r="D20" i="49"/>
  <c r="I20" i="49"/>
  <c r="C20" i="49"/>
  <c r="H20" i="49"/>
  <c r="G20" i="49"/>
  <c r="G45" i="49" s="1"/>
  <c r="G46" i="49" s="1"/>
  <c r="I6" i="49" s="1"/>
  <c r="K20" i="49"/>
  <c r="F20" i="49"/>
  <c r="E20" i="49"/>
  <c r="L20" i="49"/>
  <c r="L36" i="50"/>
  <c r="F36" i="50"/>
  <c r="I36" i="50"/>
  <c r="C36" i="50"/>
  <c r="H36" i="50"/>
  <c r="K36" i="50"/>
  <c r="J36" i="50"/>
  <c r="G36" i="50"/>
  <c r="E36" i="50"/>
  <c r="D36" i="50"/>
  <c r="H36" i="49"/>
  <c r="L36" i="49"/>
  <c r="E36" i="49"/>
  <c r="K36" i="49"/>
  <c r="D36" i="49"/>
  <c r="J36" i="49"/>
  <c r="C36" i="49"/>
  <c r="I36" i="49"/>
  <c r="F36" i="49"/>
  <c r="G36" i="49"/>
  <c r="J41" i="48"/>
  <c r="D41" i="48"/>
  <c r="I41" i="48"/>
  <c r="C41" i="48"/>
  <c r="H41" i="48"/>
  <c r="K41" i="48"/>
  <c r="G41" i="48"/>
  <c r="F41" i="48"/>
  <c r="L41" i="48"/>
  <c r="E41" i="48"/>
  <c r="I38" i="44"/>
  <c r="C38" i="44"/>
  <c r="H38" i="44"/>
  <c r="G38" i="44"/>
  <c r="L38" i="44"/>
  <c r="F38" i="44"/>
  <c r="J38" i="44"/>
  <c r="E38" i="44"/>
  <c r="D38" i="44"/>
  <c r="K38" i="44"/>
  <c r="K36" i="45"/>
  <c r="E36" i="45"/>
  <c r="I36" i="45"/>
  <c r="C36" i="45"/>
  <c r="F36" i="45"/>
  <c r="D36" i="45"/>
  <c r="L36" i="45"/>
  <c r="J36" i="45"/>
  <c r="H36" i="45"/>
  <c r="G36" i="45"/>
  <c r="I38" i="42"/>
  <c r="C38" i="42"/>
  <c r="H38" i="42"/>
  <c r="G38" i="42"/>
  <c r="L38" i="42"/>
  <c r="F38" i="42"/>
  <c r="K38" i="42"/>
  <c r="D38" i="42"/>
  <c r="J38" i="42"/>
  <c r="E38" i="42"/>
  <c r="H33" i="43"/>
  <c r="K33" i="43"/>
  <c r="E33" i="43"/>
  <c r="L33" i="43"/>
  <c r="D33" i="43"/>
  <c r="G33" i="43"/>
  <c r="J33" i="43"/>
  <c r="C33" i="43"/>
  <c r="I33" i="43"/>
  <c r="F33" i="43"/>
  <c r="K39" i="41"/>
  <c r="E39" i="41"/>
  <c r="J39" i="41"/>
  <c r="D39" i="41"/>
  <c r="I39" i="41"/>
  <c r="C39" i="41"/>
  <c r="H39" i="41"/>
  <c r="H41" i="41" s="1"/>
  <c r="H42" i="41" s="1"/>
  <c r="J6" i="41" s="1"/>
  <c r="G39" i="41"/>
  <c r="F39" i="41"/>
  <c r="L39" i="41"/>
  <c r="K35" i="50"/>
  <c r="E35" i="50"/>
  <c r="H35" i="50"/>
  <c r="G35" i="50"/>
  <c r="L35" i="50"/>
  <c r="J35" i="50"/>
  <c r="I35" i="50"/>
  <c r="F35" i="50"/>
  <c r="C35" i="50"/>
  <c r="D35" i="50"/>
  <c r="G37" i="50"/>
  <c r="J37" i="50"/>
  <c r="D37" i="50"/>
  <c r="I37" i="50"/>
  <c r="C37" i="50"/>
  <c r="L37" i="50"/>
  <c r="K37" i="50"/>
  <c r="H37" i="50"/>
  <c r="E37" i="50"/>
  <c r="F37" i="50"/>
  <c r="K41" i="50"/>
  <c r="E41" i="50"/>
  <c r="H41" i="50"/>
  <c r="G41" i="50"/>
  <c r="F41" i="50"/>
  <c r="D41" i="50"/>
  <c r="C41" i="50"/>
  <c r="L41" i="50"/>
  <c r="I41" i="50"/>
  <c r="J41" i="50"/>
  <c r="I40" i="48"/>
  <c r="C40" i="48"/>
  <c r="H40" i="48"/>
  <c r="G40" i="48"/>
  <c r="J40" i="48"/>
  <c r="F40" i="48"/>
  <c r="E40" i="48"/>
  <c r="K40" i="48"/>
  <c r="D40" i="48"/>
  <c r="L40" i="48"/>
  <c r="J33" i="46"/>
  <c r="D33" i="46"/>
  <c r="H33" i="46"/>
  <c r="I33" i="46"/>
  <c r="G33" i="46"/>
  <c r="F33" i="46"/>
  <c r="E33" i="46"/>
  <c r="K33" i="46"/>
  <c r="C33" i="46"/>
  <c r="L33" i="46"/>
  <c r="L37" i="45"/>
  <c r="F37" i="45"/>
  <c r="J37" i="45"/>
  <c r="D37" i="45"/>
  <c r="C37" i="45"/>
  <c r="K37" i="45"/>
  <c r="K49" i="45" s="1"/>
  <c r="K50" i="45" s="1"/>
  <c r="M6" i="45" s="1"/>
  <c r="I37" i="45"/>
  <c r="H37" i="45"/>
  <c r="G37" i="45"/>
  <c r="E37" i="45"/>
  <c r="H19" i="46"/>
  <c r="L19" i="46"/>
  <c r="F19" i="46"/>
  <c r="D19" i="46"/>
  <c r="K19" i="46"/>
  <c r="C19" i="46"/>
  <c r="J19" i="46"/>
  <c r="I19" i="46"/>
  <c r="G19" i="46"/>
  <c r="E19" i="46"/>
  <c r="K40" i="44"/>
  <c r="E40" i="44"/>
  <c r="J40" i="44"/>
  <c r="D40" i="44"/>
  <c r="I40" i="44"/>
  <c r="C40" i="44"/>
  <c r="H40" i="44"/>
  <c r="F40" i="44"/>
  <c r="L40" i="44"/>
  <c r="G40" i="44"/>
  <c r="J38" i="41"/>
  <c r="D38" i="41"/>
  <c r="I38" i="41"/>
  <c r="C38" i="41"/>
  <c r="H38" i="41"/>
  <c r="G38" i="41"/>
  <c r="K38" i="41"/>
  <c r="L38" i="41"/>
  <c r="F38" i="41"/>
  <c r="E38" i="41"/>
  <c r="G35" i="49"/>
  <c r="I35" i="49"/>
  <c r="H35" i="49"/>
  <c r="F35" i="49"/>
  <c r="L35" i="49"/>
  <c r="E35" i="49"/>
  <c r="J35" i="49"/>
  <c r="D35" i="49"/>
  <c r="C35" i="49"/>
  <c r="K35" i="49"/>
  <c r="L41" i="47"/>
  <c r="F41" i="47"/>
  <c r="K41" i="47"/>
  <c r="E41" i="47"/>
  <c r="J41" i="47"/>
  <c r="D41" i="47"/>
  <c r="I41" i="47"/>
  <c r="H41" i="47"/>
  <c r="C41" i="47"/>
  <c r="G41" i="47"/>
  <c r="J32" i="43"/>
  <c r="D32" i="43"/>
  <c r="I32" i="43"/>
  <c r="C32" i="43"/>
  <c r="L32" i="43"/>
  <c r="F32" i="43"/>
  <c r="H32" i="43"/>
  <c r="G32" i="43"/>
  <c r="G44" i="43" s="1"/>
  <c r="G45" i="43" s="1"/>
  <c r="I6" i="43" s="1"/>
  <c r="K32" i="43"/>
  <c r="K44" i="43" s="1"/>
  <c r="K45" i="43" s="1"/>
  <c r="M6" i="43" s="1"/>
  <c r="E32" i="43"/>
  <c r="G43" i="50"/>
  <c r="J43" i="50"/>
  <c r="D43" i="50"/>
  <c r="I43" i="50"/>
  <c r="C43" i="50"/>
  <c r="H43" i="50"/>
  <c r="F43" i="50"/>
  <c r="E43" i="50"/>
  <c r="K43" i="50"/>
  <c r="L43" i="50"/>
  <c r="L48" i="50"/>
  <c r="F48" i="50"/>
  <c r="I48" i="50"/>
  <c r="C48" i="50"/>
  <c r="H48" i="50"/>
  <c r="K48" i="50"/>
  <c r="J48" i="50"/>
  <c r="G48" i="50"/>
  <c r="E48" i="50"/>
  <c r="D48" i="50"/>
  <c r="H38" i="50"/>
  <c r="K38" i="50"/>
  <c r="E38" i="50"/>
  <c r="J38" i="50"/>
  <c r="D38" i="50"/>
  <c r="C38" i="50"/>
  <c r="L38" i="50"/>
  <c r="I38" i="50"/>
  <c r="G38" i="50"/>
  <c r="F38" i="50"/>
  <c r="H39" i="48"/>
  <c r="G39" i="48"/>
  <c r="L39" i="48"/>
  <c r="F39" i="48"/>
  <c r="I39" i="48"/>
  <c r="E39" i="48"/>
  <c r="D39" i="48"/>
  <c r="K39" i="48"/>
  <c r="J39" i="48"/>
  <c r="C39" i="48"/>
  <c r="H37" i="47"/>
  <c r="G37" i="47"/>
  <c r="L37" i="47"/>
  <c r="F37" i="47"/>
  <c r="K37" i="47"/>
  <c r="J37" i="47"/>
  <c r="I37" i="47"/>
  <c r="E37" i="47"/>
  <c r="C37" i="47"/>
  <c r="D37" i="47"/>
  <c r="J41" i="45"/>
  <c r="D41" i="45"/>
  <c r="H41" i="45"/>
  <c r="E41" i="45"/>
  <c r="L41" i="45"/>
  <c r="C41" i="45"/>
  <c r="K41" i="45"/>
  <c r="I41" i="45"/>
  <c r="G41" i="45"/>
  <c r="F41" i="45"/>
  <c r="I34" i="48"/>
  <c r="C34" i="48"/>
  <c r="G34" i="48"/>
  <c r="E34" i="48"/>
  <c r="L34" i="48"/>
  <c r="D34" i="48"/>
  <c r="K34" i="48"/>
  <c r="F34" i="48"/>
  <c r="J34" i="48"/>
  <c r="H34" i="48"/>
  <c r="H37" i="46"/>
  <c r="L37" i="46"/>
  <c r="F37" i="46"/>
  <c r="J37" i="46"/>
  <c r="I37" i="46"/>
  <c r="G37" i="46"/>
  <c r="E37" i="46"/>
  <c r="K37" i="46"/>
  <c r="C37" i="46"/>
  <c r="D37" i="46"/>
  <c r="K34" i="44"/>
  <c r="E34" i="44"/>
  <c r="J34" i="44"/>
  <c r="D34" i="44"/>
  <c r="I34" i="44"/>
  <c r="C34" i="44"/>
  <c r="H34" i="44"/>
  <c r="L34" i="44"/>
  <c r="F34" i="44"/>
  <c r="G34" i="44"/>
  <c r="J38" i="49"/>
  <c r="D38" i="49"/>
  <c r="L38" i="49"/>
  <c r="E38" i="49"/>
  <c r="K38" i="49"/>
  <c r="C38" i="49"/>
  <c r="I38" i="49"/>
  <c r="H38" i="49"/>
  <c r="F38" i="49"/>
  <c r="G38" i="49"/>
  <c r="L37" i="48"/>
  <c r="F37" i="48"/>
  <c r="K37" i="48"/>
  <c r="E37" i="48"/>
  <c r="J37" i="48"/>
  <c r="D37" i="48"/>
  <c r="G37" i="48"/>
  <c r="C37" i="48"/>
  <c r="I37" i="48"/>
  <c r="H37" i="48"/>
  <c r="J39" i="47"/>
  <c r="D39" i="47"/>
  <c r="I39" i="47"/>
  <c r="C39" i="47"/>
  <c r="H39" i="47"/>
  <c r="L39" i="47"/>
  <c r="L44" i="47" s="1"/>
  <c r="L45" i="47" s="1"/>
  <c r="N6" i="47" s="1"/>
  <c r="K39" i="47"/>
  <c r="G39" i="47"/>
  <c r="F39" i="47"/>
  <c r="E39" i="47"/>
  <c r="K42" i="45"/>
  <c r="E42" i="45"/>
  <c r="I42" i="45"/>
  <c r="C42" i="45"/>
  <c r="L42" i="45"/>
  <c r="J42" i="45"/>
  <c r="H42" i="45"/>
  <c r="G42" i="45"/>
  <c r="F42" i="45"/>
  <c r="D42" i="45"/>
  <c r="K40" i="46"/>
  <c r="E40" i="46"/>
  <c r="I40" i="46"/>
  <c r="C40" i="46"/>
  <c r="D40" i="46"/>
  <c r="L40" i="46"/>
  <c r="J40" i="46"/>
  <c r="H40" i="46"/>
  <c r="G40" i="46"/>
  <c r="F40" i="46"/>
  <c r="H39" i="45"/>
  <c r="L39" i="45"/>
  <c r="F39" i="45"/>
  <c r="I39" i="45"/>
  <c r="G39" i="45"/>
  <c r="E39" i="45"/>
  <c r="D39" i="45"/>
  <c r="K39" i="45"/>
  <c r="J39" i="45"/>
  <c r="C39" i="45"/>
  <c r="K34" i="46"/>
  <c r="E34" i="46"/>
  <c r="I34" i="46"/>
  <c r="C34" i="46"/>
  <c r="G34" i="46"/>
  <c r="F34" i="46"/>
  <c r="D34" i="46"/>
  <c r="L34" i="46"/>
  <c r="H34" i="46"/>
  <c r="J34" i="46"/>
  <c r="I32" i="44"/>
  <c r="C32" i="44"/>
  <c r="H32" i="44"/>
  <c r="G32" i="44"/>
  <c r="L32" i="44"/>
  <c r="F32" i="44"/>
  <c r="D32" i="44"/>
  <c r="J32" i="44"/>
  <c r="K32" i="44"/>
  <c r="E32" i="44"/>
  <c r="I34" i="43"/>
  <c r="C34" i="43"/>
  <c r="L34" i="43"/>
  <c r="F34" i="43"/>
  <c r="K34" i="43"/>
  <c r="J34" i="43"/>
  <c r="H34" i="43"/>
  <c r="H44" i="43" s="1"/>
  <c r="H45" i="43" s="1"/>
  <c r="J6" i="43" s="1"/>
  <c r="E34" i="43"/>
  <c r="G34" i="43"/>
  <c r="D34" i="43"/>
  <c r="I40" i="43"/>
  <c r="C40" i="43"/>
  <c r="L40" i="43"/>
  <c r="F40" i="43"/>
  <c r="H40" i="43"/>
  <c r="G40" i="43"/>
  <c r="K40" i="43"/>
  <c r="E40" i="43"/>
  <c r="D40" i="43"/>
  <c r="J40" i="43"/>
  <c r="J39" i="42"/>
  <c r="D39" i="42"/>
  <c r="I39" i="42"/>
  <c r="C39" i="42"/>
  <c r="H39" i="42"/>
  <c r="G39" i="42"/>
  <c r="F39" i="42"/>
  <c r="L39" i="42"/>
  <c r="K39" i="42"/>
  <c r="E39" i="42"/>
  <c r="J33" i="47"/>
  <c r="D33" i="47"/>
  <c r="I33" i="47"/>
  <c r="C33" i="47"/>
  <c r="H33" i="47"/>
  <c r="G33" i="47"/>
  <c r="F33" i="47"/>
  <c r="E33" i="47"/>
  <c r="L33" i="47"/>
  <c r="K33" i="47"/>
  <c r="L42" i="50"/>
  <c r="F42" i="50"/>
  <c r="I42" i="50"/>
  <c r="C42" i="50"/>
  <c r="H42" i="50"/>
  <c r="G42" i="50"/>
  <c r="E42" i="50"/>
  <c r="D42" i="50"/>
  <c r="K42" i="50"/>
  <c r="J42" i="50"/>
  <c r="G38" i="45"/>
  <c r="K38" i="45"/>
  <c r="E38" i="45"/>
  <c r="J38" i="45"/>
  <c r="I38" i="45"/>
  <c r="H38" i="45"/>
  <c r="F38" i="45"/>
  <c r="D38" i="45"/>
  <c r="L38" i="45"/>
  <c r="C38" i="45"/>
  <c r="G36" i="46"/>
  <c r="K36" i="46"/>
  <c r="E36" i="46"/>
  <c r="L36" i="46"/>
  <c r="C36" i="46"/>
  <c r="J36" i="46"/>
  <c r="I36" i="46"/>
  <c r="H36" i="46"/>
  <c r="D36" i="46"/>
  <c r="F36" i="46"/>
  <c r="J39" i="44"/>
  <c r="D39" i="44"/>
  <c r="I39" i="44"/>
  <c r="C39" i="44"/>
  <c r="H39" i="44"/>
  <c r="G39" i="44"/>
  <c r="L39" i="44"/>
  <c r="K39" i="44"/>
  <c r="E39" i="44"/>
  <c r="F39" i="44"/>
  <c r="I32" i="46"/>
  <c r="C32" i="46"/>
  <c r="G32" i="46"/>
  <c r="K32" i="46"/>
  <c r="J32" i="46"/>
  <c r="H32" i="46"/>
  <c r="F32" i="46"/>
  <c r="L32" i="46"/>
  <c r="D32" i="46"/>
  <c r="D42" i="46" s="1"/>
  <c r="D43" i="46" s="1"/>
  <c r="F6" i="46" s="1"/>
  <c r="E32" i="46"/>
  <c r="G38" i="43"/>
  <c r="J38" i="43"/>
  <c r="D38" i="43"/>
  <c r="L38" i="43"/>
  <c r="C38" i="43"/>
  <c r="K38" i="43"/>
  <c r="F38" i="43"/>
  <c r="I38" i="43"/>
  <c r="H38" i="43"/>
  <c r="E38" i="43"/>
  <c r="K36" i="43"/>
  <c r="E36" i="43"/>
  <c r="H36" i="43"/>
  <c r="G36" i="43"/>
  <c r="J36" i="43"/>
  <c r="F36" i="43"/>
  <c r="D36" i="43"/>
  <c r="L36" i="43"/>
  <c r="C36" i="43"/>
  <c r="I36" i="43"/>
  <c r="I37" i="41"/>
  <c r="C37" i="41"/>
  <c r="H37" i="41"/>
  <c r="G37" i="41"/>
  <c r="L37" i="41"/>
  <c r="F37" i="41"/>
  <c r="K37" i="41"/>
  <c r="J37" i="41"/>
  <c r="E37" i="41"/>
  <c r="D37" i="41"/>
  <c r="K36" i="48"/>
  <c r="E36" i="48"/>
  <c r="J36" i="48"/>
  <c r="D36" i="48"/>
  <c r="I36" i="48"/>
  <c r="C36" i="48"/>
  <c r="F36" i="48"/>
  <c r="G36" i="48"/>
  <c r="L36" i="48"/>
  <c r="H36" i="48"/>
  <c r="I31" i="41"/>
  <c r="C31" i="41"/>
  <c r="H31" i="41"/>
  <c r="G31" i="41"/>
  <c r="L31" i="41"/>
  <c r="F31" i="41"/>
  <c r="E31" i="41"/>
  <c r="E41" i="41" s="1"/>
  <c r="E42" i="41" s="1"/>
  <c r="G6" i="41" s="1"/>
  <c r="K31" i="41"/>
  <c r="K41" i="41" s="1"/>
  <c r="K42" i="41" s="1"/>
  <c r="M6" i="41" s="1"/>
  <c r="D31" i="41"/>
  <c r="D41" i="41" s="1"/>
  <c r="D42" i="41" s="1"/>
  <c r="F6" i="41" s="1"/>
  <c r="J31" i="41"/>
  <c r="J41" i="41" s="1"/>
  <c r="J42" i="41" s="1"/>
  <c r="L6" i="41" s="1"/>
  <c r="G36" i="47"/>
  <c r="L36" i="47"/>
  <c r="F36" i="47"/>
  <c r="K36" i="47"/>
  <c r="E36" i="47"/>
  <c r="J36" i="47"/>
  <c r="I36" i="47"/>
  <c r="H36" i="47"/>
  <c r="D36" i="47"/>
  <c r="C36" i="47"/>
  <c r="L34" i="49"/>
  <c r="F34" i="49"/>
  <c r="E34" i="49"/>
  <c r="K34" i="49"/>
  <c r="D34" i="49"/>
  <c r="J34" i="49"/>
  <c r="C34" i="49"/>
  <c r="I34" i="49"/>
  <c r="H34" i="49"/>
  <c r="G34" i="49"/>
  <c r="K47" i="50"/>
  <c r="E47" i="50"/>
  <c r="H47" i="50"/>
  <c r="G47" i="50"/>
  <c r="J47" i="50"/>
  <c r="J50" i="50" s="1"/>
  <c r="J51" i="50" s="1"/>
  <c r="L6" i="50" s="1"/>
  <c r="I47" i="50"/>
  <c r="F47" i="50"/>
  <c r="D47" i="50"/>
  <c r="C47" i="50"/>
  <c r="L47" i="50"/>
  <c r="J35" i="48"/>
  <c r="D35" i="48"/>
  <c r="I35" i="48"/>
  <c r="C35" i="48"/>
  <c r="H35" i="48"/>
  <c r="E35" i="48"/>
  <c r="L35" i="48"/>
  <c r="K35" i="48"/>
  <c r="G35" i="48"/>
  <c r="F35" i="48"/>
  <c r="L35" i="46"/>
  <c r="F35" i="46"/>
  <c r="J35" i="46"/>
  <c r="D35" i="46"/>
  <c r="E35" i="46"/>
  <c r="C35" i="46"/>
  <c r="K35" i="46"/>
  <c r="I35" i="46"/>
  <c r="H35" i="46"/>
  <c r="G35" i="46"/>
  <c r="J33" i="44"/>
  <c r="D33" i="44"/>
  <c r="I33" i="44"/>
  <c r="C33" i="44"/>
  <c r="H33" i="44"/>
  <c r="H44" i="44" s="1"/>
  <c r="H45" i="44" s="1"/>
  <c r="J6" i="44" s="1"/>
  <c r="G33" i="44"/>
  <c r="K33" i="44"/>
  <c r="F33" i="44"/>
  <c r="E33" i="44"/>
  <c r="L33" i="44"/>
  <c r="J39" i="46"/>
  <c r="D39" i="46"/>
  <c r="H39" i="46"/>
  <c r="F39" i="46"/>
  <c r="E39" i="46"/>
  <c r="L39" i="46"/>
  <c r="C39" i="46"/>
  <c r="K39" i="46"/>
  <c r="G39" i="46"/>
  <c r="I39" i="46"/>
  <c r="K34" i="45"/>
  <c r="E34" i="45"/>
  <c r="J34" i="45"/>
  <c r="D34" i="45"/>
  <c r="D49" i="45" s="1"/>
  <c r="D50" i="45" s="1"/>
  <c r="F6" i="45" s="1"/>
  <c r="I34" i="45"/>
  <c r="I49" i="45" s="1"/>
  <c r="I50" i="45" s="1"/>
  <c r="K6" i="45" s="1"/>
  <c r="C34" i="45"/>
  <c r="H34" i="45"/>
  <c r="L34" i="45"/>
  <c r="L49" i="45" s="1"/>
  <c r="L50" i="45" s="1"/>
  <c r="N6" i="45" s="1"/>
  <c r="G34" i="45"/>
  <c r="F34" i="45"/>
  <c r="J35" i="45"/>
  <c r="H35" i="45"/>
  <c r="G35" i="45"/>
  <c r="F35" i="45"/>
  <c r="E35" i="45"/>
  <c r="L35" i="45"/>
  <c r="D35" i="45"/>
  <c r="C35" i="45"/>
  <c r="K35" i="45"/>
  <c r="I35" i="45"/>
  <c r="H39" i="43"/>
  <c r="K39" i="43"/>
  <c r="E39" i="43"/>
  <c r="J39" i="43"/>
  <c r="I39" i="43"/>
  <c r="D39" i="43"/>
  <c r="G39" i="43"/>
  <c r="F39" i="43"/>
  <c r="C39" i="43"/>
  <c r="L39" i="43"/>
  <c r="K40" i="42"/>
  <c r="E40" i="42"/>
  <c r="J40" i="42"/>
  <c r="D40" i="42"/>
  <c r="I40" i="42"/>
  <c r="C40" i="42"/>
  <c r="H40" i="42"/>
  <c r="G40" i="42"/>
  <c r="F40" i="42"/>
  <c r="L40" i="42"/>
  <c r="I32" i="42"/>
  <c r="C32" i="42"/>
  <c r="H32" i="42"/>
  <c r="G32" i="42"/>
  <c r="G43" i="42" s="1"/>
  <c r="G44" i="42" s="1"/>
  <c r="I6" i="42" s="1"/>
  <c r="L32" i="42"/>
  <c r="F32" i="42"/>
  <c r="J32" i="42"/>
  <c r="E32" i="42"/>
  <c r="E43" i="42" s="1"/>
  <c r="E44" i="42" s="1"/>
  <c r="G6" i="42" s="1"/>
  <c r="K32" i="42"/>
  <c r="K43" i="42" s="1"/>
  <c r="K44" i="42" s="1"/>
  <c r="M6" i="42" s="1"/>
  <c r="D32" i="42"/>
  <c r="I50" i="50" l="1"/>
  <c r="I51" i="50" s="1"/>
  <c r="K6" i="50" s="1"/>
  <c r="F50" i="50"/>
  <c r="F51" i="50" s="1"/>
  <c r="H6" i="50" s="1"/>
  <c r="D50" i="50"/>
  <c r="D51" i="50" s="1"/>
  <c r="F6" i="50" s="1"/>
  <c r="C50" i="50"/>
  <c r="C51" i="50" s="1"/>
  <c r="E6" i="50" s="1"/>
  <c r="L50" i="50"/>
  <c r="L51" i="50" s="1"/>
  <c r="N6" i="50" s="1"/>
  <c r="G50" i="50"/>
  <c r="G51" i="50" s="1"/>
  <c r="I6" i="50" s="1"/>
  <c r="H50" i="50"/>
  <c r="H51" i="50" s="1"/>
  <c r="J6" i="50" s="1"/>
  <c r="E50" i="50"/>
  <c r="E51" i="50" s="1"/>
  <c r="G6" i="50" s="1"/>
  <c r="K50" i="50"/>
  <c r="K51" i="50" s="1"/>
  <c r="M6" i="50" s="1"/>
  <c r="H45" i="49"/>
  <c r="H46" i="49" s="1"/>
  <c r="J6" i="49" s="1"/>
  <c r="F45" i="48"/>
  <c r="F46" i="48" s="1"/>
  <c r="H6" i="48" s="1"/>
  <c r="K45" i="48"/>
  <c r="K46" i="48" s="1"/>
  <c r="M6" i="48" s="1"/>
  <c r="E45" i="48"/>
  <c r="E46" i="48" s="1"/>
  <c r="G6" i="48" s="1"/>
  <c r="L45" i="48"/>
  <c r="L46" i="48" s="1"/>
  <c r="N6" i="48" s="1"/>
  <c r="G45" i="48"/>
  <c r="G46" i="48" s="1"/>
  <c r="I6" i="48" s="1"/>
  <c r="H45" i="48"/>
  <c r="H46" i="48" s="1"/>
  <c r="J6" i="48" s="1"/>
  <c r="C45" i="48"/>
  <c r="C46" i="48" s="1"/>
  <c r="E6" i="48" s="1"/>
  <c r="F44" i="47"/>
  <c r="F45" i="47" s="1"/>
  <c r="H6" i="47" s="1"/>
  <c r="G44" i="47"/>
  <c r="G45" i="47" s="1"/>
  <c r="I6" i="47" s="1"/>
  <c r="H44" i="47"/>
  <c r="H45" i="47" s="1"/>
  <c r="J6" i="47" s="1"/>
  <c r="C44" i="47"/>
  <c r="C45" i="47" s="1"/>
  <c r="E6" i="47" s="1"/>
  <c r="K44" i="47"/>
  <c r="K45" i="47" s="1"/>
  <c r="M6" i="47" s="1"/>
  <c r="D44" i="47"/>
  <c r="D45" i="47" s="1"/>
  <c r="F6" i="47" s="1"/>
  <c r="G42" i="46"/>
  <c r="G43" i="46" s="1"/>
  <c r="I6" i="46" s="1"/>
  <c r="E42" i="46"/>
  <c r="E43" i="46" s="1"/>
  <c r="G6" i="46" s="1"/>
  <c r="J42" i="46"/>
  <c r="J43" i="46" s="1"/>
  <c r="L6" i="46" s="1"/>
  <c r="K42" i="46"/>
  <c r="K43" i="46" s="1"/>
  <c r="M6" i="46" s="1"/>
  <c r="G49" i="45"/>
  <c r="G50" i="45" s="1"/>
  <c r="I6" i="45" s="1"/>
  <c r="C49" i="45"/>
  <c r="C50" i="45" s="1"/>
  <c r="E6" i="45" s="1"/>
  <c r="J49" i="45"/>
  <c r="J50" i="45" s="1"/>
  <c r="L6" i="45" s="1"/>
  <c r="E49" i="45"/>
  <c r="E50" i="45" s="1"/>
  <c r="G6" i="45" s="1"/>
  <c r="F49" i="45"/>
  <c r="F50" i="45" s="1"/>
  <c r="H6" i="45" s="1"/>
  <c r="H49" i="45"/>
  <c r="H50" i="45" s="1"/>
  <c r="J6" i="45" s="1"/>
  <c r="E44" i="44"/>
  <c r="E45" i="44" s="1"/>
  <c r="G6" i="44" s="1"/>
  <c r="K44" i="44"/>
  <c r="K45" i="44" s="1"/>
  <c r="M6" i="44" s="1"/>
  <c r="G44" i="44"/>
  <c r="G45" i="44" s="1"/>
  <c r="I6" i="44" s="1"/>
  <c r="J44" i="44"/>
  <c r="J45" i="44" s="1"/>
  <c r="L6" i="44" s="1"/>
  <c r="D44" i="44"/>
  <c r="D45" i="44" s="1"/>
  <c r="F6" i="44" s="1"/>
  <c r="F44" i="44"/>
  <c r="F45" i="44" s="1"/>
  <c r="H6" i="44" s="1"/>
  <c r="L44" i="44"/>
  <c r="L45" i="44" s="1"/>
  <c r="N6" i="44" s="1"/>
  <c r="C44" i="44"/>
  <c r="C45" i="44" s="1"/>
  <c r="E6" i="44" s="1"/>
  <c r="I44" i="44"/>
  <c r="I45" i="44" s="1"/>
  <c r="K6" i="44" s="1"/>
  <c r="E44" i="43"/>
  <c r="E45" i="43" s="1"/>
  <c r="G6" i="43" s="1"/>
  <c r="F44" i="43"/>
  <c r="F45" i="43" s="1"/>
  <c r="H6" i="43" s="1"/>
  <c r="C44" i="43"/>
  <c r="C45" i="43" s="1"/>
  <c r="E6" i="43" s="1"/>
  <c r="D44" i="43"/>
  <c r="D45" i="43" s="1"/>
  <c r="F6" i="43" s="1"/>
  <c r="J44" i="43"/>
  <c r="J45" i="43" s="1"/>
  <c r="L6" i="43" s="1"/>
  <c r="I44" i="43"/>
  <c r="I45" i="43" s="1"/>
  <c r="K6" i="43" s="1"/>
  <c r="D43" i="42"/>
  <c r="D44" i="42" s="1"/>
  <c r="F6" i="42" s="1"/>
  <c r="F43" i="42"/>
  <c r="F44" i="42" s="1"/>
  <c r="H6" i="42" s="1"/>
  <c r="J43" i="42"/>
  <c r="J44" i="42" s="1"/>
  <c r="L6" i="42" s="1"/>
  <c r="L43" i="42"/>
  <c r="L44" i="42" s="1"/>
  <c r="N6" i="42" s="1"/>
  <c r="C43" i="42"/>
  <c r="C44" i="42" s="1"/>
  <c r="E6" i="42" s="1"/>
  <c r="H43" i="42"/>
  <c r="H44" i="42" s="1"/>
  <c r="J6" i="42" s="1"/>
  <c r="I43" i="42"/>
  <c r="I44" i="42" s="1"/>
  <c r="K6" i="42" s="1"/>
  <c r="L41" i="41"/>
  <c r="L42" i="41" s="1"/>
  <c r="N6" i="41" s="1"/>
  <c r="G41" i="41"/>
  <c r="G42" i="41" s="1"/>
  <c r="I6" i="41" s="1"/>
  <c r="C41" i="41"/>
  <c r="C42" i="41" s="1"/>
  <c r="E6" i="41" s="1"/>
  <c r="I41" i="41"/>
  <c r="I42" i="41" s="1"/>
  <c r="K6" i="41" s="1"/>
  <c r="K45" i="49"/>
  <c r="K46" i="49" s="1"/>
  <c r="M6" i="49" s="1"/>
  <c r="J45" i="49"/>
  <c r="J46" i="49" s="1"/>
  <c r="L6" i="49" s="1"/>
  <c r="F41" i="41"/>
  <c r="F42" i="41" s="1"/>
  <c r="H6" i="41" s="1"/>
  <c r="I44" i="47"/>
  <c r="I45" i="47" s="1"/>
  <c r="K6" i="47" s="1"/>
  <c r="F42" i="46"/>
  <c r="F43" i="46" s="1"/>
  <c r="H6" i="46" s="1"/>
  <c r="E44" i="47"/>
  <c r="E45" i="47" s="1"/>
  <c r="G6" i="47" s="1"/>
  <c r="J45" i="48"/>
  <c r="J46" i="48" s="1"/>
  <c r="L6" i="48" s="1"/>
  <c r="I42" i="46"/>
  <c r="I43" i="46" s="1"/>
  <c r="K6" i="46" s="1"/>
  <c r="L42" i="46"/>
  <c r="L43" i="46" s="1"/>
  <c r="N6" i="46" s="1"/>
  <c r="J44" i="47"/>
  <c r="J45" i="47" s="1"/>
  <c r="L6" i="47" s="1"/>
  <c r="H42" i="46"/>
  <c r="H43" i="46" s="1"/>
  <c r="J6" i="46" s="1"/>
  <c r="L45" i="49"/>
  <c r="L46" i="49" s="1"/>
  <c r="N6" i="49" s="1"/>
  <c r="C45" i="49"/>
  <c r="C46" i="49" s="1"/>
  <c r="E6" i="49" s="1"/>
  <c r="I45" i="48"/>
  <c r="I46" i="48" s="1"/>
  <c r="K6" i="48" s="1"/>
  <c r="C42" i="46"/>
  <c r="C43" i="46" s="1"/>
  <c r="E6" i="46" s="1"/>
  <c r="E45" i="49"/>
  <c r="E46" i="49" s="1"/>
  <c r="G6" i="49" s="1"/>
  <c r="I45" i="49"/>
  <c r="I46" i="49" s="1"/>
  <c r="K6" i="49" s="1"/>
  <c r="D45" i="48"/>
  <c r="D46" i="48" s="1"/>
  <c r="F6" i="48" s="1"/>
  <c r="L44" i="43"/>
  <c r="L45" i="43" s="1"/>
  <c r="N6" i="43" s="1"/>
  <c r="F45" i="49"/>
  <c r="F46" i="49" s="1"/>
  <c r="H6" i="49" s="1"/>
  <c r="D45" i="49"/>
  <c r="D46" i="49" s="1"/>
  <c r="F6" i="49" s="1"/>
  <c r="M6" i="1" l="1"/>
  <c r="M10" i="1"/>
  <c r="AH3" i="1" l="1"/>
  <c r="AD3" i="1"/>
  <c r="AE3" i="1"/>
  <c r="AF3" i="1"/>
  <c r="AG3" i="1"/>
  <c r="AI3" i="1"/>
  <c r="H33" i="1" l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M32" i="1" l="1"/>
  <c r="N32" i="1"/>
  <c r="O32" i="1"/>
  <c r="P32" i="1"/>
  <c r="Q32" i="1"/>
  <c r="M31" i="1"/>
  <c r="N31" i="1"/>
  <c r="O31" i="1"/>
  <c r="P31" i="1"/>
  <c r="Q31" i="1"/>
  <c r="N33" i="1"/>
  <c r="O33" i="1"/>
  <c r="P33" i="1"/>
  <c r="Q33" i="1"/>
  <c r="N34" i="1"/>
  <c r="O34" i="1"/>
  <c r="P34" i="1"/>
  <c r="Q34" i="1"/>
  <c r="N35" i="1"/>
  <c r="O35" i="1"/>
  <c r="P35" i="1"/>
  <c r="Q35" i="1"/>
  <c r="N36" i="1"/>
  <c r="O36" i="1"/>
  <c r="P36" i="1"/>
  <c r="Q36" i="1"/>
  <c r="N37" i="1"/>
  <c r="O37" i="1"/>
  <c r="P37" i="1"/>
  <c r="Q37" i="1"/>
  <c r="N38" i="1"/>
  <c r="O38" i="1"/>
  <c r="P38" i="1"/>
  <c r="Q38" i="1"/>
  <c r="N39" i="1"/>
  <c r="O39" i="1"/>
  <c r="P39" i="1"/>
  <c r="Q39" i="1"/>
  <c r="N40" i="1"/>
  <c r="O40" i="1"/>
  <c r="P40" i="1"/>
  <c r="Q40" i="1"/>
  <c r="N41" i="1"/>
  <c r="O41" i="1"/>
  <c r="P41" i="1"/>
  <c r="Q41" i="1"/>
  <c r="N42" i="1"/>
  <c r="O42" i="1"/>
  <c r="P42" i="1"/>
  <c r="Q42" i="1"/>
  <c r="N43" i="1"/>
  <c r="O43" i="1"/>
  <c r="P43" i="1"/>
  <c r="Q43" i="1"/>
  <c r="N44" i="1"/>
  <c r="O44" i="1"/>
  <c r="P44" i="1"/>
  <c r="Q44" i="1"/>
  <c r="N45" i="1"/>
  <c r="O45" i="1"/>
  <c r="P45" i="1"/>
  <c r="Q45" i="1"/>
  <c r="N46" i="1"/>
  <c r="O46" i="1"/>
  <c r="P46" i="1"/>
  <c r="Q46" i="1"/>
  <c r="N47" i="1"/>
  <c r="O47" i="1"/>
  <c r="P47" i="1"/>
  <c r="Q47" i="1"/>
  <c r="N48" i="1"/>
  <c r="O48" i="1"/>
  <c r="P48" i="1"/>
  <c r="Q48" i="1"/>
  <c r="N49" i="1"/>
  <c r="O49" i="1"/>
  <c r="P49" i="1"/>
  <c r="Q49" i="1"/>
  <c r="N50" i="1"/>
  <c r="O50" i="1"/>
  <c r="P50" i="1"/>
  <c r="Q50" i="1"/>
  <c r="Q30" i="1"/>
  <c r="P30" i="1"/>
  <c r="O30" i="1"/>
  <c r="N30" i="1"/>
  <c r="M30" i="1"/>
  <c r="H11" i="1"/>
  <c r="H12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M4" i="1" l="1"/>
  <c r="N4" i="1"/>
  <c r="O4" i="1"/>
  <c r="P4" i="1"/>
  <c r="M5" i="1"/>
  <c r="N5" i="1"/>
  <c r="O5" i="1"/>
  <c r="P5" i="1"/>
  <c r="Q5" i="1"/>
  <c r="N6" i="1"/>
  <c r="O6" i="1"/>
  <c r="Q6" i="1"/>
  <c r="M7" i="1"/>
  <c r="N7" i="1"/>
  <c r="O7" i="1"/>
  <c r="P7" i="1"/>
  <c r="Q7" i="1"/>
  <c r="M8" i="1"/>
  <c r="N8" i="1"/>
  <c r="O8" i="1"/>
  <c r="P8" i="1"/>
  <c r="Q8" i="1"/>
  <c r="M9" i="1"/>
  <c r="N9" i="1"/>
  <c r="O9" i="1"/>
  <c r="P9" i="1"/>
  <c r="Q9" i="1"/>
  <c r="N10" i="1"/>
  <c r="O10" i="1"/>
  <c r="P10" i="1"/>
  <c r="Q10" i="1"/>
  <c r="N11" i="1"/>
  <c r="O11" i="1"/>
  <c r="P11" i="1"/>
  <c r="Q11" i="1"/>
  <c r="N12" i="1"/>
  <c r="O12" i="1"/>
  <c r="P12" i="1"/>
  <c r="Q12" i="1"/>
  <c r="N13" i="1"/>
  <c r="O13" i="1"/>
  <c r="P13" i="1"/>
  <c r="Q13" i="1"/>
  <c r="N14" i="1"/>
  <c r="O14" i="1"/>
  <c r="P14" i="1"/>
  <c r="Q14" i="1"/>
  <c r="N15" i="1"/>
  <c r="O15" i="1"/>
  <c r="P15" i="1"/>
  <c r="Q15" i="1"/>
  <c r="N16" i="1"/>
  <c r="O16" i="1"/>
  <c r="P16" i="1"/>
  <c r="Q16" i="1"/>
  <c r="N17" i="1"/>
  <c r="O17" i="1"/>
  <c r="P17" i="1"/>
  <c r="Q17" i="1"/>
  <c r="N18" i="1"/>
  <c r="O18" i="1"/>
  <c r="P18" i="1"/>
  <c r="Q18" i="1"/>
  <c r="N19" i="1"/>
  <c r="O19" i="1"/>
  <c r="P19" i="1"/>
  <c r="Q19" i="1"/>
  <c r="N20" i="1"/>
  <c r="O20" i="1"/>
  <c r="P20" i="1"/>
  <c r="Q20" i="1"/>
  <c r="N21" i="1"/>
  <c r="O21" i="1"/>
  <c r="P21" i="1"/>
  <c r="Q21" i="1"/>
  <c r="N22" i="1"/>
  <c r="O22" i="1"/>
  <c r="P22" i="1"/>
  <c r="Q22" i="1"/>
  <c r="N23" i="1"/>
  <c r="O23" i="1"/>
  <c r="P23" i="1"/>
  <c r="Q23" i="1"/>
  <c r="N24" i="1"/>
  <c r="O24" i="1"/>
  <c r="P24" i="1"/>
  <c r="Q24" i="1"/>
  <c r="N25" i="1"/>
  <c r="O25" i="1"/>
  <c r="P25" i="1"/>
  <c r="Q25" i="1"/>
  <c r="N26" i="1"/>
  <c r="O26" i="1"/>
  <c r="P26" i="1"/>
  <c r="Q26" i="1"/>
  <c r="N27" i="1"/>
  <c r="O27" i="1"/>
  <c r="P27" i="1"/>
  <c r="Q27" i="1"/>
  <c r="N28" i="1"/>
  <c r="O28" i="1"/>
  <c r="P28" i="1"/>
  <c r="Q28" i="1"/>
  <c r="H50" i="1"/>
  <c r="M50" i="1" s="1"/>
  <c r="H49" i="1"/>
  <c r="M49" i="1" s="1"/>
  <c r="H48" i="1"/>
  <c r="M48" i="1" s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AI29" i="1"/>
  <c r="AF29" i="1"/>
  <c r="AH29" i="1"/>
  <c r="AG29" i="1"/>
  <c r="AE29" i="1"/>
  <c r="AD29" i="1"/>
  <c r="D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P6" i="1"/>
  <c r="Q4" i="1"/>
  <c r="D3" i="1"/>
  <c r="N29" i="1" l="1"/>
  <c r="I29" i="1" s="1"/>
  <c r="M29" i="1"/>
  <c r="P29" i="1"/>
  <c r="K29" i="1" s="1"/>
  <c r="O29" i="1"/>
  <c r="O3" i="1"/>
  <c r="Q3" i="1"/>
  <c r="N3" i="1"/>
  <c r="Q29" i="1"/>
  <c r="P3" i="1"/>
  <c r="M3" i="1"/>
  <c r="M53" i="1" l="1"/>
  <c r="Q53" i="1"/>
  <c r="N53" i="1"/>
  <c r="O53" i="1"/>
  <c r="H3" i="1"/>
  <c r="J29" i="1"/>
  <c r="P53" i="1"/>
  <c r="L29" i="1"/>
  <c r="H29" i="1"/>
</calcChain>
</file>

<file path=xl/sharedStrings.xml><?xml version="1.0" encoding="utf-8"?>
<sst xmlns="http://schemas.openxmlformats.org/spreadsheetml/2006/main" count="6040" uniqueCount="3172">
  <si>
    <t>Supplemental Tables</t>
  </si>
  <si>
    <t>Table S1. Baseline characteristics and event rates for each dataset in the derivation and validation samples</t>
  </si>
  <si>
    <t>Table S3. Meta-analyzed sex-specific adjusted hazard ratios (95% confidence intervals) for the base model adding HbA1c for total CVD and CVD subtypes in derivation samples with available data</t>
  </si>
  <si>
    <t>Table S4. Meta-analyzed sex-specific adjusted hazard ratios (95% confidence intervals) for the base model adding social deprivation index (SDI) for total CVD and CVD subtypes in the derivation OLDW cohorts</t>
  </si>
  <si>
    <t>Table S6. Calibration slopes and interquartile interval for the base model and each model adding novel predictors individually and together for total CVD</t>
  </si>
  <si>
    <t>Table S7. Calibration slopes and interquartile interval for the base model and each model adding novel predictors individually and together for ASCVD</t>
  </si>
  <si>
    <t>Table S8. Calibration slopes and interquartile interval for the base model and each model adding novel predictors individually and together for HF</t>
  </si>
  <si>
    <t>Table S9. Meta-analyzed sex-specific adjusted hazard ratios (95% confidence intervals) for the base model for coronary heart disease and stroke outcomes in derivation samples</t>
  </si>
  <si>
    <t>Table S10. Meta-analyzed sex-specific adjusted hazard ratios (95% confidence intervals) for the base model adding all novel predictors for coronary heart disease and stroke outcomes in derivation samples</t>
  </si>
  <si>
    <t>Table S11. Meta-analyzed discrimination, calibration, and net reclassification parameters of model performance for prediction of coronary heart disease and stroke in validation samples</t>
  </si>
  <si>
    <t>Outcomes: number of events</t>
  </si>
  <si>
    <t>Derivation</t>
  </si>
  <si>
    <t>visit</t>
  </si>
  <si>
    <t>Year</t>
  </si>
  <si>
    <t>N</t>
  </si>
  <si>
    <t>Follow-up, yrs, mean (SD)</t>
  </si>
  <si>
    <t>Age, yrs, mean (SD)</t>
  </si>
  <si>
    <t>Female, %</t>
  </si>
  <si>
    <t xml:space="preserve"> White, %</t>
  </si>
  <si>
    <t>Black, %</t>
  </si>
  <si>
    <t>Hispanic, %</t>
  </si>
  <si>
    <t>Asian, %</t>
  </si>
  <si>
    <t>Other, %</t>
  </si>
  <si>
    <t>Total Chol, mmol/L, mean (SD)</t>
  </si>
  <si>
    <t>Non-HDL-c, mmol/L, mean (SD)</t>
  </si>
  <si>
    <t>HDL-c, mmol/L, mean (SD)</t>
  </si>
  <si>
    <t>SBP, mmHg, mean (SD)</t>
  </si>
  <si>
    <t>Diabetes, %</t>
  </si>
  <si>
    <t>Current smoking, %</t>
  </si>
  <si>
    <t>BMI, kg/m2, mean (SD)</t>
  </si>
  <si>
    <t>Anti-hypertension medication use. %</t>
  </si>
  <si>
    <t>Statin use, %</t>
  </si>
  <si>
    <t>eGFR, mL/min/1.73 m2, mean (SD)</t>
  </si>
  <si>
    <t>HbA1c, %, mean (SD)</t>
  </si>
  <si>
    <t>Urine ACR, mg/g, median (IQR)</t>
  </si>
  <si>
    <t>Total CVD</t>
  </si>
  <si>
    <t>ASCVD</t>
  </si>
  <si>
    <t>HF</t>
  </si>
  <si>
    <t>CHD</t>
  </si>
  <si>
    <t>Stroke</t>
  </si>
  <si>
    <t>All-cause mortality</t>
  </si>
  <si>
    <t>Total</t>
  </si>
  <si>
    <t>4.7 (3.1)</t>
  </si>
  <si>
    <t>53 (13)</t>
  </si>
  <si>
    <t>4.9 (0.8)</t>
  </si>
  <si>
    <t>3.5 (0.8)</t>
  </si>
  <si>
    <t>1.4 (0.4)</t>
  </si>
  <si>
    <t>125 (16)</t>
  </si>
  <si>
    <t>29 (5)</t>
  </si>
  <si>
    <t>91 (18)</t>
  </si>
  <si>
    <t>6.3 (1.5)</t>
  </si>
  <si>
    <t>8 (8-12)</t>
  </si>
  <si>
    <t>ARIC</t>
  </si>
  <si>
    <t>1996-1998</t>
  </si>
  <si>
    <t>16.7 (6.6)</t>
  </si>
  <si>
    <t>63 (6)</t>
  </si>
  <si>
    <t>&lt;0.5%</t>
  </si>
  <si>
    <t>5.2 (0.9)</t>
  </si>
  <si>
    <t>3.9 (0.9)</t>
  </si>
  <si>
    <t>1.3 (0.4)</t>
  </si>
  <si>
    <t>127 (18)</t>
  </si>
  <si>
    <t>28 (4)</t>
  </si>
  <si>
    <t>88 (14)</t>
  </si>
  <si>
    <t>NA</t>
  </si>
  <si>
    <t>4 (2-7)</t>
  </si>
  <si>
    <t>CARDIA</t>
  </si>
  <si>
    <t>Year 10</t>
  </si>
  <si>
    <t>1995-1996</t>
  </si>
  <si>
    <t>18.3 (4.1)</t>
  </si>
  <si>
    <t>36 (3)</t>
  </si>
  <si>
    <t>4.7 (0.8)</t>
  </si>
  <si>
    <t>3.4 (0.9)</t>
  </si>
  <si>
    <t>1.3 (0.3)</t>
  </si>
  <si>
    <t>110 (12)</t>
  </si>
  <si>
    <t>27 (5)</t>
  </si>
  <si>
    <t>105 (14)</t>
  </si>
  <si>
    <t>4 (3-6)</t>
  </si>
  <si>
    <t>CHS 
phase 4</t>
  </si>
  <si>
    <t>1992-1993</t>
  </si>
  <si>
    <t>11.3 (6.6)</t>
  </si>
  <si>
    <t>73 (3)</t>
  </si>
  <si>
    <t>5.4 (0.9)</t>
  </si>
  <si>
    <t>4.0 (0.9)</t>
  </si>
  <si>
    <t>135 (19)</t>
  </si>
  <si>
    <t>27 (4)</t>
  </si>
  <si>
    <t>77 (15)</t>
  </si>
  <si>
    <t>. (.-.)</t>
  </si>
  <si>
    <t>FHS phase 5</t>
  </si>
  <si>
    <t>1995-1998</t>
  </si>
  <si>
    <t>10.3 (2.2)</t>
  </si>
  <si>
    <t>59 (10)</t>
  </si>
  <si>
    <t>5.3 (0.9)</t>
  </si>
  <si>
    <t>128 (18)</t>
  </si>
  <si>
    <t>92 (17)</t>
  </si>
  <si>
    <t>6 (3-15)</t>
  </si>
  <si>
    <t>JHS</t>
  </si>
  <si>
    <t>2000-2004</t>
  </si>
  <si>
    <t>14.8 (3.3)</t>
  </si>
  <si>
    <t>50 (10)</t>
  </si>
  <si>
    <t>5.1 (0.9)</t>
  </si>
  <si>
    <t>3.8 (0.9)</t>
  </si>
  <si>
    <t>125 (15)</t>
  </si>
  <si>
    <t>30 (5)</t>
  </si>
  <si>
    <t>89 (17)</t>
  </si>
  <si>
    <t>5.8 (1.1)</t>
  </si>
  <si>
    <t>5 (4-9)</t>
  </si>
  <si>
    <t>MESA
phase 5</t>
  </si>
  <si>
    <t>2000-2002</t>
  </si>
  <si>
    <t>12.1 (4.0)</t>
  </si>
  <si>
    <t>62 (10)</t>
  </si>
  <si>
    <t>5.1 (0.8)</t>
  </si>
  <si>
    <t>3.7 (0.9)</t>
  </si>
  <si>
    <t>126 (20)</t>
  </si>
  <si>
    <t>28 (5)</t>
  </si>
  <si>
    <t>85 (15)</t>
  </si>
  <si>
    <t>5 (3-10)</t>
  </si>
  <si>
    <t>Geisinger</t>
  </si>
  <si>
    <t>2008-2019</t>
  </si>
  <si>
    <t>5.3 (3.3)</t>
  </si>
  <si>
    <t>54 (13)</t>
  </si>
  <si>
    <t>6.6 (1.6)</t>
  </si>
  <si>
    <t>11 (8-15)</t>
  </si>
  <si>
    <t>OLDW 1</t>
  </si>
  <si>
    <t>2010-2019</t>
  </si>
  <si>
    <t>5.8 (3.0)</t>
  </si>
  <si>
    <t>88 (18)</t>
  </si>
  <si>
    <t>OLDW 3</t>
  </si>
  <si>
    <t>2010-2017</t>
  </si>
  <si>
    <t>3.7 (2.3)</t>
  </si>
  <si>
    <t>56 (13)</t>
  </si>
  <si>
    <t>5.0 (0.7)</t>
  </si>
  <si>
    <t>3.6 (0.8)</t>
  </si>
  <si>
    <t>89 (18)</t>
  </si>
  <si>
    <t>11 (8-14)</t>
  </si>
  <si>
    <t>OLDW 4</t>
  </si>
  <si>
    <t>2012-2018</t>
  </si>
  <si>
    <t>4.4 (2.5)</t>
  </si>
  <si>
    <t>5.0 (0.8)</t>
  </si>
  <si>
    <t>126 (17)</t>
  </si>
  <si>
    <t>86 (18)</t>
  </si>
  <si>
    <t>6.4 (1.5)</t>
  </si>
  <si>
    <t>OLDW 8</t>
  </si>
  <si>
    <t>2012-2019</t>
  </si>
  <si>
    <t>4.0 (2.3)</t>
  </si>
  <si>
    <t>89 (19)</t>
  </si>
  <si>
    <t>6.5 (1.6)</t>
  </si>
  <si>
    <t>8 (8-13)</t>
  </si>
  <si>
    <t>OLDW 10</t>
  </si>
  <si>
    <t>2010-2016</t>
  </si>
  <si>
    <t>3.4 (2.4)</t>
  </si>
  <si>
    <t>48 (11)</t>
  </si>
  <si>
    <t>122 (15)</t>
  </si>
  <si>
    <t>93 (17)</t>
  </si>
  <si>
    <t>6.5 (1.7)</t>
  </si>
  <si>
    <t>OLDW 12</t>
  </si>
  <si>
    <t>2011-2018</t>
  </si>
  <si>
    <t>3.3 (2.5)</t>
  </si>
  <si>
    <t>50 (11)</t>
  </si>
  <si>
    <t>129 (18)</t>
  </si>
  <si>
    <t>98 (19)</t>
  </si>
  <si>
    <t>6.8 (2.0)</t>
  </si>
  <si>
    <t>11 (8-19)</t>
  </si>
  <si>
    <t>OLDW 19</t>
  </si>
  <si>
    <t>2010-2018</t>
  </si>
  <si>
    <t>4.1 (2.4)</t>
  </si>
  <si>
    <t>126 (16)</t>
  </si>
  <si>
    <t>6.3 (1.4)</t>
  </si>
  <si>
    <t>OLDW 20</t>
  </si>
  <si>
    <t>2012-2021</t>
  </si>
  <si>
    <t>4.4 (2.3)</t>
  </si>
  <si>
    <t>53 (12)</t>
  </si>
  <si>
    <t>97 (18)</t>
  </si>
  <si>
    <t>6.1 (1.3)</t>
  </si>
  <si>
    <t>8 (8-15)</t>
  </si>
  <si>
    <t>OLDW 21</t>
  </si>
  <si>
    <t>2010-2020</t>
  </si>
  <si>
    <t>5.5 (3.3)</t>
  </si>
  <si>
    <t>52 (12)</t>
  </si>
  <si>
    <t>OLDW 22</t>
  </si>
  <si>
    <t>2012-2022</t>
  </si>
  <si>
    <t>5.8 (3.1)</t>
  </si>
  <si>
    <t>127 (16)</t>
  </si>
  <si>
    <t>OLDW 23</t>
  </si>
  <si>
    <t>2010-2021</t>
  </si>
  <si>
    <t>4.8 (2.6)</t>
  </si>
  <si>
    <t>51 (12)</t>
  </si>
  <si>
    <t>124 (15)</t>
  </si>
  <si>
    <t>OLDW 25</t>
  </si>
  <si>
    <t>4.9 (3.2)</t>
  </si>
  <si>
    <t>124 (16)</t>
  </si>
  <si>
    <t>91 (17)</t>
  </si>
  <si>
    <t>OLDW 26</t>
  </si>
  <si>
    <t>2013-2020</t>
  </si>
  <si>
    <t>3.1 (2.0)</t>
  </si>
  <si>
    <t>50 (12)</t>
  </si>
  <si>
    <t>6.1 (1.4)</t>
  </si>
  <si>
    <t>OLDW 27</t>
  </si>
  <si>
    <t>3.3 (2.0)</t>
  </si>
  <si>
    <t>6.3 (1.6)</t>
  </si>
  <si>
    <t>8 (8-14)</t>
  </si>
  <si>
    <t>OLDW 28</t>
  </si>
  <si>
    <t>6.1 (3.3)</t>
  </si>
  <si>
    <t>123 (15)</t>
  </si>
  <si>
    <t>6.2 (1.4)</t>
  </si>
  <si>
    <t>8 (8-16)</t>
  </si>
  <si>
    <t>OLDW 29</t>
  </si>
  <si>
    <t>4.5 (3.1)</t>
  </si>
  <si>
    <t>91 (19)</t>
  </si>
  <si>
    <t>11 (8-17)</t>
  </si>
  <si>
    <t>OLDW 32</t>
  </si>
  <si>
    <t>2010-2022</t>
  </si>
  <si>
    <t>8.2 (3.6)</t>
  </si>
  <si>
    <t>50 (13)</t>
  </si>
  <si>
    <t>4.9 (0.7)</t>
  </si>
  <si>
    <t>123 (16)</t>
  </si>
  <si>
    <t>92 (18)</t>
  </si>
  <si>
    <t>5.9 (1.1)</t>
  </si>
  <si>
    <t>OLDW 33</t>
  </si>
  <si>
    <t>2011-2021</t>
  </si>
  <si>
    <t>3.6 (2.1)</t>
  </si>
  <si>
    <t>96 (18)</t>
  </si>
  <si>
    <t>6.0 (1.4)</t>
  </si>
  <si>
    <t>Validation</t>
  </si>
  <si>
    <t>52 (13)</t>
  </si>
  <si>
    <t>6.2 (1.5)</t>
  </si>
  <si>
    <t>9 (8-14)</t>
  </si>
  <si>
    <t>CRIC</t>
  </si>
  <si>
    <t>2003-2007</t>
  </si>
  <si>
    <t>10.7 (5.5)</t>
  </si>
  <si>
    <t>57 (11)</t>
  </si>
  <si>
    <t>5.0 (1.0)</t>
  </si>
  <si>
    <t>3.7 (1.0)</t>
  </si>
  <si>
    <t>127 (20)</t>
  </si>
  <si>
    <t>47 (16)</t>
  </si>
  <si>
    <t>34 (7-353)</t>
  </si>
  <si>
    <t>Rancho Bernardo</t>
  </si>
  <si>
    <t>1992-1997</t>
  </si>
  <si>
    <t>15.2 (6.7)</t>
  </si>
  <si>
    <t>66 (9)</t>
  </si>
  <si>
    <t>5.5 (0.9)</t>
  </si>
  <si>
    <t>1.5 (0.4)</t>
  </si>
  <si>
    <t>132 (21)</t>
  </si>
  <si>
    <t>26 (4)</t>
  </si>
  <si>
    <t>73 (15)</t>
  </si>
  <si>
    <t>5 (3-9)</t>
  </si>
  <si>
    <t>REGARDS</t>
  </si>
  <si>
    <t>10.6 (4.8)</t>
  </si>
  <si>
    <t>63 (8)</t>
  </si>
  <si>
    <t>87 (17)</t>
  </si>
  <si>
    <t>6.2 (1.0)</t>
  </si>
  <si>
    <t>7 (4-13)</t>
  </si>
  <si>
    <t>OLDW 2</t>
  </si>
  <si>
    <t>4.9 (2.8)</t>
  </si>
  <si>
    <t>49 (12)</t>
  </si>
  <si>
    <t>OLDW 5</t>
  </si>
  <si>
    <t>2008-2017</t>
  </si>
  <si>
    <t>4.7 (2.8)</t>
  </si>
  <si>
    <t>55 (13)</t>
  </si>
  <si>
    <t>90 (19)</t>
  </si>
  <si>
    <t>6.8 (1.8)</t>
  </si>
  <si>
    <t>11 (8-12)</t>
  </si>
  <si>
    <t>OLDW 6</t>
  </si>
  <si>
    <t>2013-2022</t>
  </si>
  <si>
    <t>4.2 (2.4)</t>
  </si>
  <si>
    <t>49 (11)</t>
  </si>
  <si>
    <t>94 (17)</t>
  </si>
  <si>
    <t>6.4 (1.6)</t>
  </si>
  <si>
    <t>OLDW 7</t>
  </si>
  <si>
    <t>4.7 (3.0)</t>
  </si>
  <si>
    <t>121 (15)</t>
  </si>
  <si>
    <t>5.7 (1.1)</t>
  </si>
  <si>
    <t>OLDW 9</t>
  </si>
  <si>
    <t>5.8 (3.5)</t>
  </si>
  <si>
    <t>51 (13)</t>
  </si>
  <si>
    <t>9 (8-13)</t>
  </si>
  <si>
    <t>OLDW 11</t>
  </si>
  <si>
    <t>3.9 (2.3)</t>
  </si>
  <si>
    <t>93 (18)</t>
  </si>
  <si>
    <t>OLDW 13</t>
  </si>
  <si>
    <t>7.0 (3.7)</t>
  </si>
  <si>
    <t>55 (14)</t>
  </si>
  <si>
    <t>129 (17)</t>
  </si>
  <si>
    <t>87 (19)</t>
  </si>
  <si>
    <t>6.3 (1.3)</t>
  </si>
  <si>
    <t>OLDW 14</t>
  </si>
  <si>
    <t>7.3 (3.6)</t>
  </si>
  <si>
    <t>6.0 (1.3)</t>
  </si>
  <si>
    <t>OLDW 15</t>
  </si>
  <si>
    <t>5.3 (3.2)</t>
  </si>
  <si>
    <t>90 (18)</t>
  </si>
  <si>
    <t>OLDW 16</t>
  </si>
  <si>
    <t>4.6 (2.8)</t>
  </si>
  <si>
    <t>54 (12)</t>
  </si>
  <si>
    <t>OLDW 17</t>
  </si>
  <si>
    <t>2011-2022</t>
  </si>
  <si>
    <t>4.0 (2.5)</t>
  </si>
  <si>
    <t>52 (14)</t>
  </si>
  <si>
    <t>3.4 (0.8)</t>
  </si>
  <si>
    <t>122 (16)</t>
  </si>
  <si>
    <t>OLDW 18</t>
  </si>
  <si>
    <t>2014-2021</t>
  </si>
  <si>
    <t>3.1 (1.8)</t>
  </si>
  <si>
    <t>95 (17)</t>
  </si>
  <si>
    <t>OLDW 24</t>
  </si>
  <si>
    <t>4.0 (2.4)</t>
  </si>
  <si>
    <t>87 (18)</t>
  </si>
  <si>
    <t>OLDW 30</t>
  </si>
  <si>
    <t>2015-2021</t>
  </si>
  <si>
    <t>4.0 (2.1)</t>
  </si>
  <si>
    <t>4.8 (0.8)</t>
  </si>
  <si>
    <t>126 (15)</t>
  </si>
  <si>
    <t>OLDW 31</t>
  </si>
  <si>
    <t>5.3 (3.0)</t>
  </si>
  <si>
    <t>OLDW 34</t>
  </si>
  <si>
    <t>5.4 (3.6)</t>
  </si>
  <si>
    <t>3.7 (0.8)</t>
  </si>
  <si>
    <t>5.9 (1.3)</t>
  </si>
  <si>
    <t>OLDW 35</t>
  </si>
  <si>
    <t>2016-2022</t>
  </si>
  <si>
    <t>3.7 (1.7)</t>
  </si>
  <si>
    <t>56 (12)</t>
  </si>
  <si>
    <t>126 (14)</t>
  </si>
  <si>
    <t>OLDW 36</t>
  </si>
  <si>
    <t>4.7 (2.9)</t>
  </si>
  <si>
    <t>90 (17)</t>
  </si>
  <si>
    <t>10 (8-12)</t>
  </si>
  <si>
    <t>To convert from mmol/L to mg/dl, multiply by 38.67.</t>
  </si>
  <si>
    <t>Heart Failure</t>
  </si>
  <si>
    <t>Coronary Heart Disease</t>
  </si>
  <si>
    <t>Hazard Ratio</t>
  </si>
  <si>
    <t>Women</t>
  </si>
  <si>
    <t>Men</t>
  </si>
  <si>
    <t>non-HDL-C per 1 mmol/L</t>
  </si>
  <si>
    <t>1.02 (0.99 ,1.06)</t>
  </si>
  <si>
    <t>1.06 (1.03 ,1.10)</t>
  </si>
  <si>
    <t>1.12 (1.07 ,1.16)</t>
  </si>
  <si>
    <t>1.16 (1.12 ,1.21)</t>
  </si>
  <si>
    <t>1.19 (1.12 ,1.26)</t>
  </si>
  <si>
    <t>1.28 (1.22 ,1.34)</t>
  </si>
  <si>
    <t>1.05 (1.00 ,1.10)</t>
  </si>
  <si>
    <t>1.02 (0.98 ,1.06)</t>
  </si>
  <si>
    <t>HDL-C per 0.3 mmol/L</t>
  </si>
  <si>
    <t>0.86 (0.84 ,0.87)</t>
  </si>
  <si>
    <t>0.91 (0.89 ,0.93)</t>
  </si>
  <si>
    <t>0.86 (0.85 ,0.88)</t>
  </si>
  <si>
    <t>0.89 (0.87 ,0.92)</t>
  </si>
  <si>
    <t>0.82 (0.79 ,0.85)</t>
  </si>
  <si>
    <t>0.84 (0.81 ,0.86)</t>
  </si>
  <si>
    <t>0.90 (0.89 ,0.92)</t>
  </si>
  <si>
    <t>0.98 (0.96 ,1.00)</t>
  </si>
  <si>
    <t>SBP &lt;110 per 20 mmHg</t>
  </si>
  <si>
    <t>0.79 (0.71 ,0.89)</t>
  </si>
  <si>
    <t>0.64 (0.55 ,0.73)</t>
  </si>
  <si>
    <t>0.92 (0.81 ,1.05)</t>
  </si>
  <si>
    <t>0.73 (0.62 ,0.87)</t>
  </si>
  <si>
    <t>0.64 (0.57 ,0.71)</t>
  </si>
  <si>
    <t>0.50 (0.44 ,0.56)</t>
  </si>
  <si>
    <t>0.92 (0.77 ,1.10)</t>
  </si>
  <si>
    <t>0.71 (0.56 ,0.89)</t>
  </si>
  <si>
    <t>0.90 (0.78 ,1.03)</t>
  </si>
  <si>
    <t>0.74 (0.63 ,0.87)</t>
  </si>
  <si>
    <t>SBP ≥110 per 20 mmHg</t>
  </si>
  <si>
    <t>1.40 (1.35 ,1.47)</t>
  </si>
  <si>
    <t>1.37 (1.32 ,1.41)</t>
  </si>
  <si>
    <t>1.41 (1.35 ,1.48)</t>
  </si>
  <si>
    <t>1.36 (1.31 ,1.42)</t>
  </si>
  <si>
    <t>1.39 (1.32 ,1.46)</t>
  </si>
  <si>
    <t>1.40 (1.35 ,1.45)</t>
  </si>
  <si>
    <t>1.41 (1.35 ,1.46)</t>
  </si>
  <si>
    <t>1.35 (1.29 ,1.41)</t>
  </si>
  <si>
    <t>1.43 (1.34 ,1.52)</t>
  </si>
  <si>
    <t>1.40 (1.33 ,1.46)</t>
  </si>
  <si>
    <t>Diabetes</t>
  </si>
  <si>
    <t>2.25 (2.15 ,2.35)</t>
  </si>
  <si>
    <t>2.03 (1.94 ,2.12)</t>
  </si>
  <si>
    <t>2.21 (2.10 ,2.33)</t>
  </si>
  <si>
    <t>1.97 (1.86 ,2.09)</t>
  </si>
  <si>
    <t>2.65 (2.51 ,2.79)</t>
  </si>
  <si>
    <t>2.35 (2.22 ,2.48)</t>
  </si>
  <si>
    <t>2.40 (2.22 ,2.58)</t>
  </si>
  <si>
    <t>2.05 (1.93 ,2.18)</t>
  </si>
  <si>
    <t>2.14 (2.00 ,2.29)</t>
  </si>
  <si>
    <t>1.91 (1.76 ,2.07)</t>
  </si>
  <si>
    <t>Current smoking</t>
  </si>
  <si>
    <t>1.73 (1.54 ,1.94)</t>
  </si>
  <si>
    <t>1.58 (1.42 ,1.75)</t>
  </si>
  <si>
    <t>1.65 (1.44 ,1.89)</t>
  </si>
  <si>
    <t>1.52 (1.37 ,1.68)</t>
  </si>
  <si>
    <t>1.83 (1.59 ,2.09)</t>
  </si>
  <si>
    <t>1.69 (1.48 ,1.93)</t>
  </si>
  <si>
    <t>1.76 (1.50 ,2.05)</t>
  </si>
  <si>
    <t>1.52 (1.35 ,1.71)</t>
  </si>
  <si>
    <t>1.56 (1.35 ,1.80)</t>
  </si>
  <si>
    <t>BMI &lt;30, per 5 kg/m2</t>
  </si>
  <si>
    <t>0.99 (0.94 ,1.04)</t>
  </si>
  <si>
    <t>0.94 (0.88 ,0.99)</t>
  </si>
  <si>
    <t>BMI 30+, per 5 kg/m2</t>
  </si>
  <si>
    <t>1.35 (1.28 ,1.41)</t>
  </si>
  <si>
    <t>1.44 (1.37 ,1.52)</t>
  </si>
  <si>
    <t>eGFR &lt;60, per -15 ml</t>
  </si>
  <si>
    <t>1.72 (1.63 ,1.80)</t>
  </si>
  <si>
    <t>1.58 (1.51 ,1.66)</t>
  </si>
  <si>
    <t>1.57 (1.48 ,1.67)</t>
  </si>
  <si>
    <t>1.39 (1.33 ,1.46)</t>
  </si>
  <si>
    <t>1.93 (1.83 ,2.04)</t>
  </si>
  <si>
    <t>1.81 (1.67 ,1.95)</t>
  </si>
  <si>
    <t>1.62 (1.50 ,1.74)</t>
  </si>
  <si>
    <t>1.40 (1.34 ,1.47)</t>
  </si>
  <si>
    <t>1.54 (1.46 ,1.62)</t>
  </si>
  <si>
    <t>1.43 (1.32 ,1.55)</t>
  </si>
  <si>
    <t>eGFR 60+, per -15 ml</t>
  </si>
  <si>
    <t>1.04 (1.01 ,1.07)</t>
  </si>
  <si>
    <t>1.00 (0.98 ,1.02)</t>
  </si>
  <si>
    <t>1.04 (1.01 ,1.06)</t>
  </si>
  <si>
    <t>1.01 (0.99 ,1.03)</t>
  </si>
  <si>
    <t>1.05 (1.02 ,1.09)</t>
  </si>
  <si>
    <t>1.01 (0.97 ,1.05)</t>
  </si>
  <si>
    <t>1.03 (1.00 ,1.06)</t>
  </si>
  <si>
    <t>1.01 (0.98 ,1.03)</t>
  </si>
  <si>
    <t>1.05 (1.02 ,1.08)</t>
  </si>
  <si>
    <t>Anti-hypertensive use</t>
  </si>
  <si>
    <t>1.34 (1.18 ,1.53)</t>
  </si>
  <si>
    <t>1.31 (1.17 ,1.46)</t>
  </si>
  <si>
    <t>1.24 (1.10 ,1.40)</t>
  </si>
  <si>
    <t>1.21 (1.09 ,1.34)</t>
  </si>
  <si>
    <t>1.39 (1.18 ,1.64)</t>
  </si>
  <si>
    <t>1.32 (1.13 ,1.53)</t>
  </si>
  <si>
    <t>1.21 (1.08 ,1.36)</t>
  </si>
  <si>
    <t>1.16 (1.06 ,1.28)</t>
  </si>
  <si>
    <t>1.27 (1.12 ,1.44)</t>
  </si>
  <si>
    <t>1.25 (1.10 ,1.41)</t>
  </si>
  <si>
    <t>Statin use</t>
  </si>
  <si>
    <t>0.85 (0.81 ,0.91)</t>
  </si>
  <si>
    <t>0.86 (0.81 ,0.91)</t>
  </si>
  <si>
    <t>0.93 (0.87 ,0.99)</t>
  </si>
  <si>
    <t>0.90 (0.84 ,0.96)</t>
  </si>
  <si>
    <t>0.95 (0.89 ,1.02)</t>
  </si>
  <si>
    <t>0.93 (0.86 ,1.00)</t>
  </si>
  <si>
    <t>0.91 (0.85 ,0.98)</t>
  </si>
  <si>
    <t>0.87 (0.81 ,0.93)</t>
  </si>
  <si>
    <t>Treated SBP ≥110 mm Hg per 20 mm Hg</t>
  </si>
  <si>
    <t>0.92 (0.89 ,0.96)</t>
  </si>
  <si>
    <t>0.94 (0.91 ,0.97)</t>
  </si>
  <si>
    <t>0.95 (0.91 ,0.99)</t>
  </si>
  <si>
    <t>0.96 (0.92 ,0.99)</t>
  </si>
  <si>
    <t>0.89 (0.86 ,0.93)</t>
  </si>
  <si>
    <t>0.93 (0.90 ,0.96)</t>
  </si>
  <si>
    <t>0.90 (0.87 ,0.94)</t>
  </si>
  <si>
    <t>0.93 (0.90 ,0.97)</t>
  </si>
  <si>
    <t>0.98 (0.93 ,1.04)</t>
  </si>
  <si>
    <t>1.00 (0.95 ,1.05)</t>
  </si>
  <si>
    <t>Treated non-HDL-C</t>
  </si>
  <si>
    <t>1.11 (1.06 ,1.16)</t>
  </si>
  <si>
    <t>1.15 (1.09 ,1.22)</t>
  </si>
  <si>
    <t>1.07 (1.02 ,1.14)</t>
  </si>
  <si>
    <t>1.11 (1.06 ,1.18)</t>
  </si>
  <si>
    <t>1.06 (0.98 ,1.16)</t>
  </si>
  <si>
    <t>1.08 (1.02 ,1.15)</t>
  </si>
  <si>
    <t>1.08 (1.02 ,1.14)</t>
  </si>
  <si>
    <t>1.16 (1.09 ,1.23)</t>
  </si>
  <si>
    <t>Age per 10yr * non-HDL-C per 1 mmol/L</t>
  </si>
  <si>
    <t>0.93 (0.91 ,0.94)</t>
  </si>
  <si>
    <t>0.95 (0.94 ,0.96)</t>
  </si>
  <si>
    <t>0.95 (0.93 ,0.96)</t>
  </si>
  <si>
    <t>0.97 (0.96 ,0.98)</t>
  </si>
  <si>
    <t>0.94 (0.92 ,0.96)</t>
  </si>
  <si>
    <t>0.96 (0.94 ,0.98)</t>
  </si>
  <si>
    <t>1.03 (1.02 ,1.04)</t>
  </si>
  <si>
    <t>1.02 (1.01 ,1.04)</t>
  </si>
  <si>
    <t>1.04 (1.03 ,1.05)</t>
  </si>
  <si>
    <t>1.03 (1.01 ,1.04)</t>
  </si>
  <si>
    <t>1.05 (1.04 ,1.07)</t>
  </si>
  <si>
    <t>1.05 (1.03 ,1.08)</t>
  </si>
  <si>
    <t>1.02 (1.01 ,1.03)</t>
  </si>
  <si>
    <t>0.99 (0.98 ,1.01)</t>
  </si>
  <si>
    <t>Age per 10yr * SBP ≥110 mm Hg per 20 mmHg</t>
  </si>
  <si>
    <t>0.92 (0.90 ,0.93)</t>
  </si>
  <si>
    <t>0.92 (0.91 ,0.94)</t>
  </si>
  <si>
    <t>0.89 (0.87 ,0.90)</t>
  </si>
  <si>
    <t>0.90 (0.88 ,0.92)</t>
  </si>
  <si>
    <t>0.90 (0.88 ,0.91)</t>
  </si>
  <si>
    <t>Age per 10yr * diabetes</t>
  </si>
  <si>
    <t>0.77 (0.75 ,0.79)</t>
  </si>
  <si>
    <t>0.81 (0.79 ,0.83)</t>
  </si>
  <si>
    <t>0.79 (0.77 ,0.82)</t>
  </si>
  <si>
    <t>0.83 (0.81 ,0.85)</t>
  </si>
  <si>
    <t>0.71 (0.68 ,0.73)</t>
  </si>
  <si>
    <t>0.75 (0.72 ,0.78)</t>
  </si>
  <si>
    <t>0.78 (0.75 ,0.82)</t>
  </si>
  <si>
    <t>0.82 (0.80 ,0.85)</t>
  </si>
  <si>
    <t>0.79 (0.76 ,0.83)</t>
  </si>
  <si>
    <t>0.83 (0.79 ,0.86)</t>
  </si>
  <si>
    <t>Age per 10yr * current smoking</t>
  </si>
  <si>
    <t>0.93 (0.89 ,0.97)</t>
  </si>
  <si>
    <t>0.93 (0.88 ,0.99)</t>
  </si>
  <si>
    <t>0.92 (0.88 ,0.96)</t>
  </si>
  <si>
    <t>0.89 (0.85 ,0.95)</t>
  </si>
  <si>
    <t>0.88 (0.84 ,0.91)</t>
  </si>
  <si>
    <t>0.93 (0.86 ,1.01)</t>
  </si>
  <si>
    <t>0.92 (0.85 ,0.99)</t>
  </si>
  <si>
    <t>0.93 (0.87 ,1.00)</t>
  </si>
  <si>
    <t>Age per 10yr * BMI 30+ per 5 kg/m2</t>
  </si>
  <si>
    <t>0.99 (0.96 ,1.02)</t>
  </si>
  <si>
    <t>1.00 (0.97 ,1.02)</t>
  </si>
  <si>
    <t>Age per 10yr * eGFR &lt;60, per -15 ml</t>
  </si>
  <si>
    <t>0.90 (0.87 ,0.92)</t>
  </si>
  <si>
    <t>0.88 (0.86 ,0.90)</t>
  </si>
  <si>
    <t>0.90 (0.88 ,0.93)</t>
  </si>
  <si>
    <t>0.98 (0.96 ,1.01)</t>
  </si>
  <si>
    <t>0.89 (0.86 ,0.91)</t>
  </si>
  <si>
    <t>0.89 (0.86 ,0.92)</t>
  </si>
  <si>
    <t>ln-ACR, mg/g, per 1 ln unit</t>
  </si>
  <si>
    <t>1.21 (1.19 ,1.23)</t>
  </si>
  <si>
    <t>1.22 (1.21 ,1.24)</t>
  </si>
  <si>
    <t>1.18 (1.15 ,1.20)</t>
  </si>
  <si>
    <t>1.18 (1.16 ,1.20)</t>
  </si>
  <si>
    <t>1.26 (1.24 ,1.29)</t>
  </si>
  <si>
    <t>1.28 (1.26 ,1.30)</t>
  </si>
  <si>
    <t>1.19 (1.16 ,1.22)</t>
  </si>
  <si>
    <t>1.18 (1.15 ,1.21)</t>
  </si>
  <si>
    <t>1.17 (1.14 ,1.19)</t>
  </si>
  <si>
    <t>1.20 (1.18 ,1.22)</t>
  </si>
  <si>
    <t>Missing ACR/PCR/Dipstick</t>
  </si>
  <si>
    <t>1.02 (0.97 ,1.06)</t>
  </si>
  <si>
    <t>1.10 (1.05 ,1.15)</t>
  </si>
  <si>
    <t>1.01 (0.96 ,1.05)</t>
  </si>
  <si>
    <t>1.06 (1.01 ,1.12)</t>
  </si>
  <si>
    <t>1.04 (0.97 ,1.10)</t>
  </si>
  <si>
    <t>1.16 (1.10 ,1.23)</t>
  </si>
  <si>
    <t>1.03 (0.99 ,1.08)</t>
  </si>
  <si>
    <t>0.97 (0.92 ,1.03)</t>
  </si>
  <si>
    <t>1.05 (0.99 ,1.11)</t>
  </si>
  <si>
    <t>Number of cohorts</t>
  </si>
  <si>
    <t>Number of participants</t>
  </si>
  <si>
    <t>Number of events</t>
  </si>
  <si>
    <t>1.16 (1.12 ,1.20)</t>
  </si>
  <si>
    <t>1.11 (1.07 ,1.14)</t>
  </si>
  <si>
    <t>1.18 (1.11 ,1.24)</t>
  </si>
  <si>
    <t>1.27 (1.21 ,1.33)</t>
  </si>
  <si>
    <t>1.04 (1.00 ,1.09)</t>
  </si>
  <si>
    <t>0.87 (0.86 ,0.88)</t>
  </si>
  <si>
    <t>0.88 (0.87 ,0.89)</t>
  </si>
  <si>
    <t>0.89 (0.87 ,0.91)</t>
  </si>
  <si>
    <t>0.83 (0.80 ,0.86)</t>
  </si>
  <si>
    <t>0.84 (0.82 ,0.87)</t>
  </si>
  <si>
    <t>0.91 (0.89 ,0.92)</t>
  </si>
  <si>
    <t>0.74 (0.62 ,0.87)</t>
  </si>
  <si>
    <t>0.95 (0.83 ,1.09)</t>
  </si>
  <si>
    <t>0.69 (0.60 ,0.79)</t>
  </si>
  <si>
    <t>0.64 (0.58 ,0.71)</t>
  </si>
  <si>
    <t>0.50 (0.45 ,0.56)</t>
  </si>
  <si>
    <t>0.75 (0.64 ,0.88)</t>
  </si>
  <si>
    <t>1.42 (1.36 ,1.48)</t>
  </si>
  <si>
    <t>1.38 (1.33 ,1.43)</t>
  </si>
  <si>
    <t>1.41 (1.36 ,1.47)</t>
  </si>
  <si>
    <t>1.38 (1.35 ,1.41)</t>
  </si>
  <si>
    <t>1.41 (1.34 ,1.48)</t>
  </si>
  <si>
    <t>1.43 (1.38 ,1.49)</t>
  </si>
  <si>
    <t>1.37 (1.31 ,1.43)</t>
  </si>
  <si>
    <t>1.43 (1.35 ,1.53)</t>
  </si>
  <si>
    <t>1.69 (1.54 ,1.85)</t>
  </si>
  <si>
    <t>1.56 (1.43 ,1.71)</t>
  </si>
  <si>
    <t>1.76 (1.62 ,1.91)</t>
  </si>
  <si>
    <t>1.47 (1.33 ,1.62)</t>
  </si>
  <si>
    <t>1.99 (1.80 ,2.21)</t>
  </si>
  <si>
    <t>1.81 (1.65 ,1.99)</t>
  </si>
  <si>
    <t>1.78 (1.61 ,1.98)</t>
  </si>
  <si>
    <t>1.66 (1.54 ,1.78)</t>
  </si>
  <si>
    <t>1.61 (1.45 ,1.79)</t>
  </si>
  <si>
    <t>1.45 (1.26 ,1.67)</t>
  </si>
  <si>
    <t>1.68 (1.46 ,1.92)</t>
  </si>
  <si>
    <t>1.53 (1.38 ,1.70)</t>
  </si>
  <si>
    <t>1.61 (1.38 ,1.87)</t>
  </si>
  <si>
    <t>1.44 (1.28 ,1.62)</t>
  </si>
  <si>
    <t>1.85 (1.61 ,2.13)</t>
  </si>
  <si>
    <t>1.70 (1.49 ,1.95)</t>
  </si>
  <si>
    <t>1.79 (1.53 ,2.09)</t>
  </si>
  <si>
    <t>1.54 (1.36 ,1.73)</t>
  </si>
  <si>
    <t>1.57 (1.36 ,1.81)</t>
  </si>
  <si>
    <t>1.52 (1.35 ,1.72)</t>
  </si>
  <si>
    <t>0.98 (0.93 ,1.02)</t>
  </si>
  <si>
    <t>0.93 (0.88 ,0.98)</t>
  </si>
  <si>
    <t>1.34 (1.28 ,1.41)</t>
  </si>
  <si>
    <t>1.45 (1.38 ,1.52)</t>
  </si>
  <si>
    <t>1.74 (1.65 ,1.83)</t>
  </si>
  <si>
    <t>1.60 (1.53 ,1.67)</t>
  </si>
  <si>
    <t>1.05 (1.03 ,1.07)</t>
  </si>
  <si>
    <t>2.25 (2.14 ,2.35)</t>
  </si>
  <si>
    <t>2.19 (2.04 ,2.35)</t>
  </si>
  <si>
    <t>1.81 (1.69 ,1.94)</t>
  </si>
  <si>
    <t>1.61 (1.54 ,1.69)</t>
  </si>
  <si>
    <t>1.69 (1.61 ,1.78)</t>
  </si>
  <si>
    <t>1.65 (1.54 ,1.76)</t>
  </si>
  <si>
    <t>1.04 (1.02 ,1.07)</t>
  </si>
  <si>
    <t>1.02 (1.00 ,1.04)</t>
  </si>
  <si>
    <t>0.80 (0.69 ,0.93)</t>
  </si>
  <si>
    <t>0.61 (0.54 ,0.68)</t>
  </si>
  <si>
    <t>1.06 (1.02 ,1.10)</t>
  </si>
  <si>
    <t>1.04 (1.00 ,1.07)</t>
  </si>
  <si>
    <t>1.02 (0.99 ,1.04)</t>
  </si>
  <si>
    <t>1.26 (1.12 ,1.42)</t>
  </si>
  <si>
    <t>1.24 (1.12 ,1.37)</t>
  </si>
  <si>
    <t>1.19 (1.15 ,1.23)</t>
  </si>
  <si>
    <t>1.15 (1.10 ,1.20)</t>
  </si>
  <si>
    <t>1.42 (1.22 ,1.67)</t>
  </si>
  <si>
    <t>1.36 (1.17 ,1.57)</t>
  </si>
  <si>
    <t>1.23 (1.10 ,1.38)</t>
  </si>
  <si>
    <t>1.19 (1.08 ,1.31)</t>
  </si>
  <si>
    <t>1.29 (1.13 ,1.47)</t>
  </si>
  <si>
    <t>1.28 (1.13 ,1.44)</t>
  </si>
  <si>
    <t>0.91 (0.87 ,0.95)</t>
  </si>
  <si>
    <t>0.88 (0.85 ,0.90)</t>
  </si>
  <si>
    <t>0.95 (0.88 ,1.01)</t>
  </si>
  <si>
    <t>0.91 (0.85 ,0.97)</t>
  </si>
  <si>
    <t>0.86 (0.81 ,0.93)</t>
  </si>
  <si>
    <t>0.95 (0.92 ,0.99)</t>
  </si>
  <si>
    <t>0.96 (0.93 ,1.00)</t>
  </si>
  <si>
    <t>0.96 (0.93 ,0.99)</t>
  </si>
  <si>
    <t>0.94 (0.92 ,0.97)</t>
  </si>
  <si>
    <t>0.91 (0.87 ,0.94)</t>
  </si>
  <si>
    <t>0.99 (0.93 ,1.04)</t>
  </si>
  <si>
    <t>1.07 (1.01 ,1.13)</t>
  </si>
  <si>
    <t>1.11 (1.05 ,1.17)</t>
  </si>
  <si>
    <t>1.10 (1.06 ,1.14)</t>
  </si>
  <si>
    <t>1.06 (0.98 ,1.15)</t>
  </si>
  <si>
    <t>0.95 (0.94 ,0.97)</t>
  </si>
  <si>
    <t>0.96 (0.95 ,0.97)</t>
  </si>
  <si>
    <t>0.95 (0.93 ,0.97)</t>
  </si>
  <si>
    <t>0.97 (0.95 ,0.99)</t>
  </si>
  <si>
    <t>1.03 (1.02 ,1.05)</t>
  </si>
  <si>
    <t>0.91 (0.90 ,0.93)</t>
  </si>
  <si>
    <t>0.92 (0.90 ,0.94)</t>
  </si>
  <si>
    <t>0.88 (0.87 ,0.90)</t>
  </si>
  <si>
    <t>0.83 (0.81 ,0.86)</t>
  </si>
  <si>
    <t>0.87 (0.83 ,0.90)</t>
  </si>
  <si>
    <t>0.75 (0.72 ,0.77)</t>
  </si>
  <si>
    <t>0.87 (0.84 ,0.89)</t>
  </si>
  <si>
    <t>0.87 (0.84 ,0.91)</t>
  </si>
  <si>
    <t>0.94 (0.88 ,1.01)</t>
  </si>
  <si>
    <t>0.92 (0.86 ,0.98)</t>
  </si>
  <si>
    <t>0.90 (0.85 ,0.95)</t>
  </si>
  <si>
    <t>0.88 (0.84 ,0.92)</t>
  </si>
  <si>
    <t>0.90 (0.83 ,0.96)</t>
  </si>
  <si>
    <t>0.87 (0.85 ,0.89)</t>
  </si>
  <si>
    <t>1.40 (1.32 ,1.47)</t>
  </si>
  <si>
    <t>0.85 (0.83 ,0.87)</t>
  </si>
  <si>
    <t>0.86 (0.83 ,0.89)</t>
  </si>
  <si>
    <t>0.96 (0.93 ,0.98)</t>
  </si>
  <si>
    <t>0.86 (0.84 ,0.89)</t>
  </si>
  <si>
    <t>HbA1c in DM, per 1%</t>
  </si>
  <si>
    <t>1.15 (1.07 ,1.24)</t>
  </si>
  <si>
    <t>1.13 (1.07 ,1.20)</t>
  </si>
  <si>
    <t>1.20 (1.16 ,1.24)</t>
  </si>
  <si>
    <t>1.15 (1.12 ,1.18)</t>
  </si>
  <si>
    <t>1.21 (1.13 ,1.29)</t>
  </si>
  <si>
    <t>1.21 (1.14 ,1.28)</t>
  </si>
  <si>
    <t>1.14 (1.07 ,1.21)</t>
  </si>
  <si>
    <t>1.10 (1.00 ,1.21)</t>
  </si>
  <si>
    <t>1.12 (1.04 ,1.21)</t>
  </si>
  <si>
    <t>HbA1c no DM, per 1%</t>
  </si>
  <si>
    <t>1.18 (1.16 ,1.19)</t>
  </si>
  <si>
    <t>1.14 (1.13 ,1.16)</t>
  </si>
  <si>
    <t>1.17 (1.15 ,1.19)</t>
  </si>
  <si>
    <t>1.15 (1.12 ,1.17)</t>
  </si>
  <si>
    <t>1.20 (1.19 ,1.22)</t>
  </si>
  <si>
    <t>1.17 (1.15 ,1.18)</t>
  </si>
  <si>
    <t>1.20 (1.17 ,1.22)</t>
  </si>
  <si>
    <t>1.13 (1.11 ,1.15)</t>
  </si>
  <si>
    <t>1.17 (1.16 ,1.19)</t>
  </si>
  <si>
    <t>1.16 (1.14 ,1.18)</t>
  </si>
  <si>
    <t>Missing HbA1c</t>
  </si>
  <si>
    <t>1.00 (0.94 ,1.06)</t>
  </si>
  <si>
    <t>1.00 (0.95 ,1.04)</t>
  </si>
  <si>
    <t>1.01 (0.97 ,1.04)</t>
  </si>
  <si>
    <t>0.98 (0.92 ,1.05)</t>
  </si>
  <si>
    <t>0.99 (0.92 ,1.05)</t>
  </si>
  <si>
    <t>1.02 (0.96 ,1.10)</t>
  </si>
  <si>
    <t>1.03 (0.98 ,1.07)</t>
  </si>
  <si>
    <t>0.97 (0.90 ,1.05)</t>
  </si>
  <si>
    <t>Centered at age 55, non-HDLC 3.5, HDLC 1.3, SBP 130, BMI 25, eGFR 90, no DM,  non-smoker, no medication used, HbA1c 5.3</t>
  </si>
  <si>
    <t>Table S4. Meta-analyzed sex-specific adjusted hazard ratios (95% confidence intervals) for the base model adding social deprivation index (SDI) for total CVD and CVD subtypes in the OLDW derivation cohorts</t>
  </si>
  <si>
    <t>1.07 (1.03 ,1.11)</t>
  </si>
  <si>
    <t>1.17 (1.12 ,1.22)</t>
  </si>
  <si>
    <t>1.17 (1.11 ,1.23)</t>
  </si>
  <si>
    <t>1.28 (1.21 ,1.35)</t>
  </si>
  <si>
    <t>1.04 (0.99 ,1.10)</t>
  </si>
  <si>
    <t>0.81 (0.78 ,0.84)</t>
  </si>
  <si>
    <t>0.80 (0.70 ,0.91)</t>
  </si>
  <si>
    <t>0.57 (0.50 ,0.66)</t>
  </si>
  <si>
    <t>0.94 (0.82 ,1.09)</t>
  </si>
  <si>
    <t>0.67 (0.57 ,0.78)</t>
  </si>
  <si>
    <t>0.64 (0.56 ,0.72)</t>
  </si>
  <si>
    <t>0.48 (0.42 ,0.55)</t>
  </si>
  <si>
    <t>0.96 (0.79 ,1.18)</t>
  </si>
  <si>
    <t>0.62 (0.48 ,0.79)</t>
  </si>
  <si>
    <t>0.90 (0.76 ,1.07)</t>
  </si>
  <si>
    <t>0.71 (0.60 ,0.84)</t>
  </si>
  <si>
    <t>1.39 (1.34 ,1.43)</t>
  </si>
  <si>
    <t>1.41 (1.36 ,1.46)</t>
  </si>
  <si>
    <t>1.38 (1.33 ,1.44)</t>
  </si>
  <si>
    <t>1.42 (1.35 ,1.50)</t>
  </si>
  <si>
    <t>1.43 (1.38 ,1.48)</t>
  </si>
  <si>
    <t>1.42 (1.37 ,1.47)</t>
  </si>
  <si>
    <t>1.42 (1.34 ,1.51)</t>
  </si>
  <si>
    <t>1.42 (1.34 ,1.49)</t>
  </si>
  <si>
    <t>2.39 (2.28 ,2.50)</t>
  </si>
  <si>
    <t>2.19 (2.10 ,2.29)</t>
  </si>
  <si>
    <t>2.35 (2.22 ,2.49)</t>
  </si>
  <si>
    <t>2.10 (1.99 ,2.21)</t>
  </si>
  <si>
    <t>2.83 (2.68 ,2.99)</t>
  </si>
  <si>
    <t>2.57 (2.41 ,2.74)</t>
  </si>
  <si>
    <t>2.52 (2.31 ,2.74)</t>
  </si>
  <si>
    <t>2.21 (2.09 ,2.34)</t>
  </si>
  <si>
    <t>2.30 (2.15 ,2.46)</t>
  </si>
  <si>
    <t>2.00 (1.84 ,2.17)</t>
  </si>
  <si>
    <t>1.62 (1.44 ,1.83)</t>
  </si>
  <si>
    <t>1.49 (1.33 ,1.66)</t>
  </si>
  <si>
    <t>1.54 (1.36 ,1.74)</t>
  </si>
  <si>
    <t>1.44 (1.30 ,1.60)</t>
  </si>
  <si>
    <t>1.75 (1.51 ,2.02)</t>
  </si>
  <si>
    <t>1.58 (1.38 ,1.82)</t>
  </si>
  <si>
    <t>1.62 (1.40 ,1.87)</t>
  </si>
  <si>
    <t>1.43 (1.27 ,1.62)</t>
  </si>
  <si>
    <t>1.48 (1.29 ,1.70)</t>
  </si>
  <si>
    <t>1.46 (1.28 ,1.66)</t>
  </si>
  <si>
    <t>0.89 (0.85 ,0.94)</t>
  </si>
  <si>
    <t>1.32 (1.26 ,1.38)</t>
  </si>
  <si>
    <t>1.45 (1.37 ,1.54)</t>
  </si>
  <si>
    <t>1.93 (1.85 ,2.02)</t>
  </si>
  <si>
    <t>1.84 (1.76 ,1.93)</t>
  </si>
  <si>
    <t>1.75 (1.65 ,1.86)</t>
  </si>
  <si>
    <t>1.59 (1.52 ,1.66)</t>
  </si>
  <si>
    <t>2.24 (2.13 ,2.35)</t>
  </si>
  <si>
    <t>2.16 (2.01 ,2.32)</t>
  </si>
  <si>
    <t>1.83 (1.68 ,1.99)</t>
  </si>
  <si>
    <t>1.60 (1.52 ,1.68)</t>
  </si>
  <si>
    <t>1.71 (1.63 ,1.80)</t>
  </si>
  <si>
    <t>1.64 (1.54 ,1.76)</t>
  </si>
  <si>
    <t>1.00 (0.98 ,1.03)</t>
  </si>
  <si>
    <t>1.03 (0.99 ,1.07)</t>
  </si>
  <si>
    <t>1.06 (1.03 ,1.09)</t>
  </si>
  <si>
    <t>1.01 (0.99 ,1.04)</t>
  </si>
  <si>
    <t>1.37 (1.17 ,1.60)</t>
  </si>
  <si>
    <t>1.31 (1.14 ,1.49)</t>
  </si>
  <si>
    <t>1.26 (1.09 ,1.46)</t>
  </si>
  <si>
    <t>1.21 (1.07 ,1.36)</t>
  </si>
  <si>
    <t>1.42 (1.17 ,1.72)</t>
  </si>
  <si>
    <t>1.31 (1.10 ,1.57)</t>
  </si>
  <si>
    <t>1.24 (1.08 ,1.43)</t>
  </si>
  <si>
    <t>1.14 (1.02 ,1.28)</t>
  </si>
  <si>
    <t>1.28 (1.09 ,1.50)</t>
  </si>
  <si>
    <t>1.30 (1.13 ,1.49)</t>
  </si>
  <si>
    <t>0.86 (0.80 ,0.92)</t>
  </si>
  <si>
    <t>0.85 (0.80 ,0.91)</t>
  </si>
  <si>
    <t>0.88 (0.82 ,0.95)</t>
  </si>
  <si>
    <t>0.94 (0.87 ,1.02)</t>
  </si>
  <si>
    <t>0.90 (0.83 ,0.98)</t>
  </si>
  <si>
    <t>0.91 (0.84 ,0.99)</t>
  </si>
  <si>
    <t>0.87 (0.81 ,0.94)</t>
  </si>
  <si>
    <t>0.94 (0.90 ,0.98)</t>
  </si>
  <si>
    <t>0.96 (0.92 ,1.01)</t>
  </si>
  <si>
    <t>0.97 (0.93 ,1.00)</t>
  </si>
  <si>
    <t>0.91 (0.86 ,0.96)</t>
  </si>
  <si>
    <t>0.95 (0.92 ,0.98)</t>
  </si>
  <si>
    <t>0.92 (0.87 ,0.97)</t>
  </si>
  <si>
    <t>0.94 (0.90 ,0.97)</t>
  </si>
  <si>
    <t>0.99 (0.93 ,1.06)</t>
  </si>
  <si>
    <t>1.01 (0.96 ,1.06)</t>
  </si>
  <si>
    <t>1.14 (1.10 ,1.17)</t>
  </si>
  <si>
    <t>1.18 (1.10 ,1.25)</t>
  </si>
  <si>
    <t>1.11 (1.05 ,1.16)</t>
  </si>
  <si>
    <t>1.13 (1.06 ,1.21)</t>
  </si>
  <si>
    <t>1.12 (1.04 ,1.19)</t>
  </si>
  <si>
    <t>1.10 (1.03 ,1.19)</t>
  </si>
  <si>
    <t>1.10 (1.03 ,1.17)</t>
  </si>
  <si>
    <t>1.18 (1.10 ,1.27)</t>
  </si>
  <si>
    <t>0.97 (0.95 ,0.98)</t>
  </si>
  <si>
    <t>0.93 (0.91 ,0.95)</t>
  </si>
  <si>
    <t>1.06 (1.03 ,1.08)</t>
  </si>
  <si>
    <t>1.02 (1.00 ,1.03)</t>
  </si>
  <si>
    <t>0.90 (0.89 ,0.91)</t>
  </si>
  <si>
    <t>0.89 (0.88 ,0.91)</t>
  </si>
  <si>
    <t>0.79 (0.76 ,0.82)</t>
  </si>
  <si>
    <t>0.71 (0.68 ,0.74)</t>
  </si>
  <si>
    <t>0.75 (0.72 ,0.79)</t>
  </si>
  <si>
    <t>0.78 (0.74 ,0.82)</t>
  </si>
  <si>
    <t>0.79 (0.75 ,0.83)</t>
  </si>
  <si>
    <t>0.84 (0.80 ,0.87)</t>
  </si>
  <si>
    <t>0.94 (0.91 ,0.98)</t>
  </si>
  <si>
    <t>0.96 (0.91 ,1.01)</t>
  </si>
  <si>
    <t>0.93 (0.89 ,0.98)</t>
  </si>
  <si>
    <t>0.91 (0.86 ,0.95)</t>
  </si>
  <si>
    <t>0.90 (0.86 ,0.95)</t>
  </si>
  <si>
    <t>0.97 (0.89 ,1.06)</t>
  </si>
  <si>
    <t>0.94 (0.88 ,1.02)</t>
  </si>
  <si>
    <t>0.95 (0.88 ,1.03)</t>
  </si>
  <si>
    <t>0.87 (0.84 ,0.90)</t>
  </si>
  <si>
    <t>0.97 (0.94 ,1.00)</t>
  </si>
  <si>
    <t>SDI decile categories 4-6 vs. 1-3</t>
  </si>
  <si>
    <t>1.16 (1.07 ,1.25)</t>
  </si>
  <si>
    <t>1.16 (1.09 ,1.25)</t>
  </si>
  <si>
    <t>1.09 (0.98 ,1.21)</t>
  </si>
  <si>
    <t>1.15 (1.04 ,1.28)</t>
  </si>
  <si>
    <t>1.14 (1.03 ,1.26)</t>
  </si>
  <si>
    <t>1.20 (1.10 ,1.30)</t>
  </si>
  <si>
    <t>1.09 (0.98 ,1.22)</t>
  </si>
  <si>
    <t>1.13 (1.02 ,1.25)</t>
  </si>
  <si>
    <t>1.10 (0.96 ,1.26)</t>
  </si>
  <si>
    <t>SDI decile categories 7-10 vs. 1-3</t>
  </si>
  <si>
    <t>1.28 (1.16 ,1.41)</t>
  </si>
  <si>
    <t>1.35 (1.25 ,1.46)</t>
  </si>
  <si>
    <t>1.29 (1.17 ,1.41)</t>
  </si>
  <si>
    <t>1.35 (1.25 ,1.45)</t>
  </si>
  <si>
    <t>1.29 (1.16 ,1.43)</t>
  </si>
  <si>
    <t>1.45 (1.29 ,1.63)</t>
  </si>
  <si>
    <t>1.29 (1.19 ,1.40)</t>
  </si>
  <si>
    <t>1.30 (1.18 ,1.44)</t>
  </si>
  <si>
    <t>1.27 (1.12 ,1.43)</t>
  </si>
  <si>
    <t>1.42 (1.26 ,1.60)</t>
  </si>
  <si>
    <t>Missing SDI</t>
  </si>
  <si>
    <t>1.21 (1.14 ,1.29)</t>
  </si>
  <si>
    <t>1.17 (1.10 ,1.25)</t>
  </si>
  <si>
    <t>1.19 (1.13 ,1.26)</t>
  </si>
  <si>
    <t>1.16 (1.09 ,1.24)</t>
  </si>
  <si>
    <t>1.22 (1.13 ,1.31)</t>
  </si>
  <si>
    <t>1.21 (1.11 ,1.31)</t>
  </si>
  <si>
    <t>1.12 (1.06 ,1.18)</t>
  </si>
  <si>
    <t>1.17 (1.08 ,1.26)</t>
  </si>
  <si>
    <t>1.22 (1.10 ,1.36)</t>
  </si>
  <si>
    <t>Centered at age 55, non-HDLC 3.5, HDLC 1.3, SBP 130, BMI 25, eGFR 90, no DM,  non-smoker, no medication used</t>
  </si>
  <si>
    <t>Table S5A. Meta-analyzed discrimination, calibration, and net reclassification parameters of model performance for prediction of total cardiovascular disease and cardiovascular disease subtypes in derivation samples</t>
  </si>
  <si>
    <t>Base Model  (including eGFR) Population</t>
  </si>
  <si>
    <t>Base model</t>
  </si>
  <si>
    <t>C-statistic (IQI)</t>
  </si>
  <si>
    <t>0.789 (0.778, 0.810)</t>
  </si>
  <si>
    <t>0.745 (0.734, 0.760)</t>
  </si>
  <si>
    <t>0.768 (0.756, 0.788)</t>
  </si>
  <si>
    <t>0.730 (0.718, 0.741)</t>
  </si>
  <si>
    <t>0.811 (0.802, 0.844)</t>
  </si>
  <si>
    <t>0.798 (0.774, 0.805)</t>
  </si>
  <si>
    <t>0.773 (0.752, 0.800)</t>
  </si>
  <si>
    <t>0.727 (0.719, 0.738)</t>
  </si>
  <si>
    <t>0.774 (0.760, 0.787)</t>
  </si>
  <si>
    <t>0.749 (0.731, 0.760)</t>
  </si>
  <si>
    <t>Calibration slope (IQI)</t>
  </si>
  <si>
    <t>1.06 (0.82, 1.21)</t>
  </si>
  <si>
    <t>1.06 (0.89, 1.25)</t>
  </si>
  <si>
    <t>0.98 (0.83, 1.25)</t>
  </si>
  <si>
    <t>1.05 (0.94, 1.41)</t>
  </si>
  <si>
    <t>1.14 (0.80, 1.22)</t>
  </si>
  <si>
    <t>1.04 (0.76, 1.14)</t>
  </si>
  <si>
    <t>1.00 (0.76, 1.37)</t>
  </si>
  <si>
    <t>1.05 (0.96, 1.46)</t>
  </si>
  <si>
    <t>1.00 (0.91, 1.16)</t>
  </si>
  <si>
    <t>1.00 (0.90, 1.26)</t>
  </si>
  <si>
    <t>Base + Albuminuria model</t>
  </si>
  <si>
    <t>0.791 (0.780, 0.812)</t>
  </si>
  <si>
    <t>0.752 (0.740, 0.762)</t>
  </si>
  <si>
    <t>0.770 (0.759, 0.789)</t>
  </si>
  <si>
    <t>0.734 (0.721, 0.742)</t>
  </si>
  <si>
    <t>0.815 (0.809, 0.846)</t>
  </si>
  <si>
    <t>0.803 (0.779, 0.811)</t>
  </si>
  <si>
    <t>0.777 (0.754, 0.801)</t>
  </si>
  <si>
    <t>0.731 (0.719, 0.743)</t>
  </si>
  <si>
    <t>0.777 (0.760, 0.789)</t>
  </si>
  <si>
    <t>0.754 (0.733, 0.762)</t>
  </si>
  <si>
    <t>Delta C-statistic (95% CI), vs. base model</t>
  </si>
  <si>
    <t>0.002 (0.002, 0.003)</t>
  </si>
  <si>
    <t>0.004 (0.003, 0.005)</t>
  </si>
  <si>
    <t>0.002 (0.001, 0.002)</t>
  </si>
  <si>
    <t>0.003 (0.002, 0.004)</t>
  </si>
  <si>
    <t>0.003 (0.003, 0.004)</t>
  </si>
  <si>
    <t>0.005 (0.004, 0.006)</t>
  </si>
  <si>
    <t>0.002 (0.001, 0.003)</t>
  </si>
  <si>
    <t>NRI (IQI)</t>
  </si>
  <si>
    <t>0.018 (0.001, 0.034)</t>
  </si>
  <si>
    <t>0.005 (-0.010, 0.029)</t>
  </si>
  <si>
    <t>0.021 (0.007, 0.039)</t>
  </si>
  <si>
    <t>0.004 (-0.009, 0.042)</t>
  </si>
  <si>
    <t>0.025 (0.007, 0.040)</t>
  </si>
  <si>
    <t>0.084 (0.050, 0.112)</t>
  </si>
  <si>
    <t>0.027 (0.011, 0.106)</t>
  </si>
  <si>
    <t>0.070 (0.011, 0.103)</t>
  </si>
  <si>
    <t>0.042 (0.014, 0.101)</t>
  </si>
  <si>
    <t>0.132 (0.071, 0.193)</t>
  </si>
  <si>
    <t>1.08 (0.81, 1.26)</t>
  </si>
  <si>
    <t>1.05 (0.91, 1.26)</t>
  </si>
  <si>
    <t>1.00 (0.85, 1.26)</t>
  </si>
  <si>
    <t>1.03 (0.94, 1.39)</t>
  </si>
  <si>
    <t>1.13 (0.79, 1.30)</t>
  </si>
  <si>
    <t>1.07 (0.78, 1.23)</t>
  </si>
  <si>
    <t>1.00 (0.72, 1.38)</t>
  </si>
  <si>
    <t>1.04 (0.96, 1.44)</t>
  </si>
  <si>
    <t>1.05 (0.91, 1.19)</t>
  </si>
  <si>
    <t>1.00 (0.88, 1.24)</t>
  </si>
  <si>
    <t>Base + A1c model Population</t>
  </si>
  <si>
    <t>C-statistic (IQI): Base model</t>
  </si>
  <si>
    <t>0.789 (0.779, 0.810)</t>
  </si>
  <si>
    <t>0.750 (0.741, 0.764)</t>
  </si>
  <si>
    <t>0.775 (0.760, 0.788)</t>
  </si>
  <si>
    <t>0.734 (0.721, 0.744)</t>
  </si>
  <si>
    <t>0.824 (0.806, 0.845)</t>
  </si>
  <si>
    <t>0.798 (0.779, 0.809)</t>
  </si>
  <si>
    <t>0.778 (0.757, 0.800)</t>
  </si>
  <si>
    <t>0.730 (0.721, 0.738)</t>
  </si>
  <si>
    <t>0.778 (0.761, 0.789)</t>
  </si>
  <si>
    <t>0.751 (0.734, 0.766)</t>
  </si>
  <si>
    <t>Base + HbA1c model</t>
  </si>
  <si>
    <t>0.789 (0.781, 0.812)</t>
  </si>
  <si>
    <t>0.753 (0.743, 0.766)</t>
  </si>
  <si>
    <t>0.775 (0.763, 0.789)</t>
  </si>
  <si>
    <t>0.737 (0.724, 0.747)</t>
  </si>
  <si>
    <t>0.825 (0.811, 0.847)</t>
  </si>
  <si>
    <t>0.802 (0.781, 0.813)</t>
  </si>
  <si>
    <t>0.781 (0.760, 0.801)</t>
  </si>
  <si>
    <t>0.734 (0.722, 0.741)</t>
  </si>
  <si>
    <t>0.779 (0.763, 0.791)</t>
  </si>
  <si>
    <t>0.754 (0.736, 0.769)</t>
  </si>
  <si>
    <t>0.001 (0.001, 0.002)</t>
  </si>
  <si>
    <t>0.003 (-0.001, 0.006)</t>
  </si>
  <si>
    <t>0.005 (0.001, 0.008)</t>
  </si>
  <si>
    <t>0.003 (-0.001, 0.005)</t>
  </si>
  <si>
    <t>0.003 (0.000, 0.004)</t>
  </si>
  <si>
    <t>0.006 (0.002, 0.009)</t>
  </si>
  <si>
    <t>0.004 (0.002, 0.010)</t>
  </si>
  <si>
    <t>0.005 (0.001, 0.007)</t>
  </si>
  <si>
    <t>-0.002 (-0.006, -0.000)</t>
  </si>
  <si>
    <t>0.002 (-0.002, 0.007)</t>
  </si>
  <si>
    <t>0.006 (0.001, 0.011)</t>
  </si>
  <si>
    <t>1.07 (0.82, 1.15)</t>
  </si>
  <si>
    <t>1.06 (0.90, 1.18)</t>
  </si>
  <si>
    <t>0.99 (0.83, 1.23)</t>
  </si>
  <si>
    <t>1.06 (0.91, 1.29)</t>
  </si>
  <si>
    <t>1.10 (0.79, 1.17)</t>
  </si>
  <si>
    <t>1.03 (0.82, 1.12)</t>
  </si>
  <si>
    <t>0.94 (0.72, 1.35)</t>
  </si>
  <si>
    <t>1.09 (0.91, 1.51)</t>
  </si>
  <si>
    <t>0.99 (0.90, 1.14)</t>
  </si>
  <si>
    <t>0.98 (0.89, 1.23)</t>
  </si>
  <si>
    <t>SDI &amp; Full model Population</t>
  </si>
  <si>
    <t>0.800 (0.777, 0.816)</t>
  </si>
  <si>
    <t>0.769 (0.746, 0.781)</t>
  </si>
  <si>
    <t>0.787 (0.756, 0.797)</t>
  </si>
  <si>
    <t>0.749 (0.729, 0.761)</t>
  </si>
  <si>
    <t>0.828 (0.790, 0.848)</t>
  </si>
  <si>
    <t>0.810 (0.791, 0.823)</t>
  </si>
  <si>
    <t>0.778 (0.767, 0.808)</t>
  </si>
  <si>
    <t>0.743 (0.717, 0.756)</t>
  </si>
  <si>
    <t>0.784 (0.751, 0.792)</t>
  </si>
  <si>
    <t>0.767 (0.747, 0.786)</t>
  </si>
  <si>
    <t>Base + SDI model</t>
  </si>
  <si>
    <t>0.801 (0.777, 0.817)</t>
  </si>
  <si>
    <t>0.773 (0.748, 0.785)</t>
  </si>
  <si>
    <t>0.789 (0.758, 0.796)</t>
  </si>
  <si>
    <t>0.751 (0.731, 0.766)</t>
  </si>
  <si>
    <t>0.830 (0.789, 0.850)</t>
  </si>
  <si>
    <t>0.815 (0.793, 0.828)</t>
  </si>
  <si>
    <t>0.777 (0.766, 0.813)</t>
  </si>
  <si>
    <t>0.734 (0.709, 0.749)</t>
  </si>
  <si>
    <t>0.782 (0.761, 0.791)</t>
  </si>
  <si>
    <t>0.771 (0.746, 0.795)</t>
  </si>
  <si>
    <t>0.002 (0.000, 0.003)</t>
  </si>
  <si>
    <t>0.001 (0.000, 0.002)</t>
  </si>
  <si>
    <t>0.001 (-0.001, 0.004)</t>
  </si>
  <si>
    <t>0.004 (-0.001, 0.010)</t>
  </si>
  <si>
    <t>0.003 (-0.002, 0.010)</t>
  </si>
  <si>
    <t>0.007 (0.001, 0.013)</t>
  </si>
  <si>
    <t>0.002 (-0.014, 0.010)</t>
  </si>
  <si>
    <t>0.002 (-0.004, 0.005)</t>
  </si>
  <si>
    <t>0.007 (0.000, 0.011)</t>
  </si>
  <si>
    <t>0.003 (-0.004, 0.010)</t>
  </si>
  <si>
    <t>0.008 (-0.006, 0.024)</t>
  </si>
  <si>
    <t>0.002 (-0.007, 0.008)</t>
  </si>
  <si>
    <t>0.009 (-0.014, 0.019)</t>
  </si>
  <si>
    <t>1.08 (0.82, 1.21)</t>
  </si>
  <si>
    <t>1.07 (0.86, 1.15)</t>
  </si>
  <si>
    <t>1.11 (0.86, 1.31)</t>
  </si>
  <si>
    <t>1.06 (0.97, 1.24)</t>
  </si>
  <si>
    <t>1.11 (0.88, 1.27)</t>
  </si>
  <si>
    <t>1.04 (0.78, 1.19)</t>
  </si>
  <si>
    <t>1.09 (0.70, 1.54)</t>
  </si>
  <si>
    <t>1.10 (0.91, 1.35)</t>
  </si>
  <si>
    <t>1.05 (0.90, 1.30)</t>
  </si>
  <si>
    <t>1.04 (0.91, 1.14)</t>
  </si>
  <si>
    <t>Full model</t>
  </si>
  <si>
    <t>0.805 (0.781, 0.820)</t>
  </si>
  <si>
    <t>0.776 (0.756, 0.791)</t>
  </si>
  <si>
    <t>0.792 (0.760, 0.799)</t>
  </si>
  <si>
    <t>0.753 (0.736, 0.770)</t>
  </si>
  <si>
    <t>0.833 (0.798, 0.855)</t>
  </si>
  <si>
    <t>0.822 (0.798, 0.832)</t>
  </si>
  <si>
    <t>0.787 (0.776, 0.813)</t>
  </si>
  <si>
    <t>0.749 (0.720, 0.762)</t>
  </si>
  <si>
    <t>0.789 (0.755, 0.798)</t>
  </si>
  <si>
    <t>0.775 (0.755, 0.791)</t>
  </si>
  <si>
    <t>0.007 (0.005, 0.009)</t>
  </si>
  <si>
    <t>0.005 (0.004, 0.007)</t>
  </si>
  <si>
    <t>0.006 (0.004, 0.009)</t>
  </si>
  <si>
    <t>0.006 (0.005, 0.007)</t>
  </si>
  <si>
    <t>0.008 (0.006, 0.010)</t>
  </si>
  <si>
    <t>0.006 (0.004, 0.008)</t>
  </si>
  <si>
    <t>0.006 (0.003, 0.009)</t>
  </si>
  <si>
    <t>0.004 (0.003, 0.006)</t>
  </si>
  <si>
    <t>0.006 (-0.000, 0.014)</t>
  </si>
  <si>
    <t>0.010 (-0.004, 0.012)</t>
  </si>
  <si>
    <t>0.010 (0.004, 0.017)</t>
  </si>
  <si>
    <t>0.006 (-0.006, 0.013)</t>
  </si>
  <si>
    <t>0.007 (0.002, 0.017)</t>
  </si>
  <si>
    <t>0.008 (-0.004, 0.023)</t>
  </si>
  <si>
    <t>0.010 (0.002, 0.028)</t>
  </si>
  <si>
    <t>0.014 (-0.003, 0.024)</t>
  </si>
  <si>
    <t>0.005 (-0.001, 0.014)</t>
  </si>
  <si>
    <t>0.016 (-0.001, 0.022)</t>
  </si>
  <si>
    <t>1.08 (0.81, 1.23)</t>
  </si>
  <si>
    <t>1.08 (0.86, 1.15)</t>
  </si>
  <si>
    <t>1.11 (0.85, 1.32)</t>
  </si>
  <si>
    <t>1.03 (0.96, 1.26)</t>
  </si>
  <si>
    <t>1.11 (0.92, 1.33)</t>
  </si>
  <si>
    <t>1.04 (0.78, 1.26)</t>
  </si>
  <si>
    <t>1.07 (0.73, 1.54)</t>
  </si>
  <si>
    <t>1.12 (0.92, 1.40)</t>
  </si>
  <si>
    <t>1.06 (0.88, 1.34)</t>
  </si>
  <si>
    <t>1.02 (0.93, 1.14)</t>
  </si>
  <si>
    <t>* CARDIA was not included in women for ASCVD, HF, MI and stroke due to &lt;10 events in 10 years</t>
  </si>
  <si>
    <t>** Delta C-statistic is meta-analyzed using the delta within each cohort weighted inversely to its standard error. Therefore, the meta-analyzed mean delta C-statistic may not equal the difference of between the two median C-statistics of the models being compared.</t>
  </si>
  <si>
    <t>Table S5B. Discrimination C-statistic by race-ethnicity for PCE and PREVENT equations</t>
  </si>
  <si>
    <t>C-statistic by race and ethnicity</t>
  </si>
  <si>
    <t>MI</t>
  </si>
  <si>
    <t>Female</t>
  </si>
  <si>
    <t>Male</t>
  </si>
  <si>
    <t>PCE</t>
  </si>
  <si>
    <t>White</t>
  </si>
  <si>
    <t>0.796 (0.754, 0.813)</t>
  </si>
  <si>
    <t>0.750 (0.722, 0.765)</t>
  </si>
  <si>
    <t>0.779 (0.738, 0.789)</t>
  </si>
  <si>
    <t>0.733 (0.699, 0.750)</t>
  </si>
  <si>
    <t>0.827 (0.791, 0.844)</t>
  </si>
  <si>
    <t>0.781 (0.760, 0.800)</t>
  </si>
  <si>
    <t>0.778 (0.748, 0.795)</t>
  </si>
  <si>
    <t>0.723 (0.699, 0.750)</t>
  </si>
  <si>
    <t>0.775 (0.746, 0.798)</t>
  </si>
  <si>
    <t>0.748 (0.707, 0.764)</t>
  </si>
  <si>
    <t>Black</t>
  </si>
  <si>
    <t>0.750 (0.728, 0.775)</t>
  </si>
  <si>
    <t>0.728 (0.708, 0.760)</t>
  </si>
  <si>
    <t>0.734 (0.723, 0.764)</t>
  </si>
  <si>
    <t>0.721 (0.702, 0.735)</t>
  </si>
  <si>
    <t>0.763 (0.731, 0.791)</t>
  </si>
  <si>
    <t>0.753 (0.728, 0.764)</t>
  </si>
  <si>
    <t>0.740 (0.716, 0.759)</t>
  </si>
  <si>
    <t>0.712 (0.691, 0.742)</t>
  </si>
  <si>
    <t>0.739 (0.702, 0.767)</t>
  </si>
  <si>
    <t>0.723 (0.694, 0.763)</t>
  </si>
  <si>
    <t>Hispanic</t>
  </si>
  <si>
    <t>0.775 (0.727, 0.793)</t>
  </si>
  <si>
    <t>0.774 (0.723, 0.801)</t>
  </si>
  <si>
    <t>0.757 (0.709, 0.770)</t>
  </si>
  <si>
    <t>0.778 (0.724, 0.789)</t>
  </si>
  <si>
    <t>0.822 (0.810, 0.843)</t>
  </si>
  <si>
    <t>0.782 (0.743, 0.822)</t>
  </si>
  <si>
    <t>0.736 (0.691, 0.765)</t>
  </si>
  <si>
    <t>0.769 (0.726, 0.791)</t>
  </si>
  <si>
    <t>0.760 (0.686, 0.783)</t>
  </si>
  <si>
    <t>0.773 (0.730, 0.783)</t>
  </si>
  <si>
    <t>Asian</t>
  </si>
  <si>
    <t>0.810 (0.776, 0.834)</t>
  </si>
  <si>
    <t>0.768 (0.759, 0.805)</t>
  </si>
  <si>
    <t>0.801 (0.756, 0.828)</t>
  </si>
  <si>
    <t>0.776 (0.740, 0.821)</t>
  </si>
  <si>
    <t>0.839 (0.829, 0.880)</t>
  </si>
  <si>
    <t>0.805 (0.737, 0.840)</t>
  </si>
  <si>
    <t>0.825 (0.769, 0.839)</t>
  </si>
  <si>
    <t>0.763 (0.710, 0.797)</t>
  </si>
  <si>
    <t>0.804 (0.755, 0.837)</t>
  </si>
  <si>
    <t>0.770 (0.734, 0.822)</t>
  </si>
  <si>
    <t>Other/Unknown</t>
  </si>
  <si>
    <t>0.796 (0.787, 0.815)</t>
  </si>
  <si>
    <t>0.771 (0.750, 0.797)</t>
  </si>
  <si>
    <t>0.771 (0.757, 0.794)</t>
  </si>
  <si>
    <t>0.755 (0.726, 0.796)</t>
  </si>
  <si>
    <t>0.844 (0.817, 0.848)</t>
  </si>
  <si>
    <t>0.811 (0.780, 0.830)</t>
  </si>
  <si>
    <t>0.753 (0.739, 0.800)</t>
  </si>
  <si>
    <t>0.748 (0.726, 0.800)</t>
  </si>
  <si>
    <t>0.780 (0.744, 0.793)</t>
  </si>
  <si>
    <t>0.762 (0.754, 0.775)</t>
  </si>
  <si>
    <t>Base Model</t>
  </si>
  <si>
    <t>0.805 (0.770, 0.818)</t>
  </si>
  <si>
    <t>0.756 (0.729, 0.773)</t>
  </si>
  <si>
    <t>0.787 (0.752, 0.793)</t>
  </si>
  <si>
    <t>0.736 (0.705, 0.753)</t>
  </si>
  <si>
    <t>0.841 (0.814, 0.850)</t>
  </si>
  <si>
    <t>0.813 (0.788, 0.829)</t>
  </si>
  <si>
    <t>0.787 (0.765, 0.801)</t>
  </si>
  <si>
    <t>0.730 (0.706, 0.756)</t>
  </si>
  <si>
    <t>0.780 (0.751, 0.802)</t>
  </si>
  <si>
    <t>0.749 (0.712, 0.767)</t>
  </si>
  <si>
    <t>0.757 (0.736, 0.789)</t>
  </si>
  <si>
    <t>0.749 (0.724, 0.766)</t>
  </si>
  <si>
    <t>0.747 (0.735, 0.777)</t>
  </si>
  <si>
    <t>0.726 (0.700, 0.758)</t>
  </si>
  <si>
    <t>0.785 (0.768, 0.814)</t>
  </si>
  <si>
    <t>0.783 (0.761, 0.796)</t>
  </si>
  <si>
    <t>0.756 (0.724, 0.789)</t>
  </si>
  <si>
    <t>0.724 (0.699, 0.746)</t>
  </si>
  <si>
    <t>0.750 (0.724, 0.777)</t>
  </si>
  <si>
    <t>0.748 (0.708, 0.762)</t>
  </si>
  <si>
    <t>0.791 (0.749, 0.804)</t>
  </si>
  <si>
    <t>0.787 (0.743, 0.812)</t>
  </si>
  <si>
    <t>0.772 (0.722, 0.788)</t>
  </si>
  <si>
    <t>0.779 (0.733, 0.804)</t>
  </si>
  <si>
    <t>0.843 (0.824, 0.873)</t>
  </si>
  <si>
    <t>0.796 (0.769, 0.844)</t>
  </si>
  <si>
    <t>0.759 (0.704, 0.789)</t>
  </si>
  <si>
    <t>0.769 (0.734, 0.803)</t>
  </si>
  <si>
    <t>0.767 (0.705, 0.797)</t>
  </si>
  <si>
    <t>0.778 (0.746, 0.797)</t>
  </si>
  <si>
    <t>0.816 (0.795, 0.845)</t>
  </si>
  <si>
    <t>0.773 (0.753, 0.815)</t>
  </si>
  <si>
    <t>0.819 (0.747, 0.848)</t>
  </si>
  <si>
    <t>0.778 (0.737, 0.835)</t>
  </si>
  <si>
    <t>0.861 (0.855, 0.884)</t>
  </si>
  <si>
    <t>0.825 (0.736, 0.839)</t>
  </si>
  <si>
    <t>0.837 (0.793, 0.884)</t>
  </si>
  <si>
    <t>0.763 (0.713, 0.808)</t>
  </si>
  <si>
    <t>0.803 (0.776, 0.845)</t>
  </si>
  <si>
    <t>0.789 (0.737, 0.839)</t>
  </si>
  <si>
    <t>0.812 (0.793, 0.840)</t>
  </si>
  <si>
    <t>0.786 (0.771, 0.828)</t>
  </si>
  <si>
    <t>0.791 (0.768, 0.816)</t>
  </si>
  <si>
    <t>0.769 (0.743, 0.813)</t>
  </si>
  <si>
    <t>0.867 (0.844, 0.878)</t>
  </si>
  <si>
    <t>0.850 (0.832, 0.867)</t>
  </si>
  <si>
    <t>0.795 (0.749, 0.808)</t>
  </si>
  <si>
    <t>0.751 (0.732, 0.793)</t>
  </si>
  <si>
    <t>0.782 (0.749, 0.800)</t>
  </si>
  <si>
    <t>0.768 (0.760, 0.794)</t>
  </si>
  <si>
    <t>Base + ACR Model</t>
  </si>
  <si>
    <t>0.807 (0.774, 0.820)</t>
  </si>
  <si>
    <t>0.758 (0.738, 0.776)</t>
  </si>
  <si>
    <t>0.788 (0.755, 0.794)</t>
  </si>
  <si>
    <t>0.739 (0.713, 0.755)</t>
  </si>
  <si>
    <t>0.842 (0.815, 0.853)</t>
  </si>
  <si>
    <t>0.817 (0.792, 0.833)</t>
  </si>
  <si>
    <t>0.789 (0.766, 0.803)</t>
  </si>
  <si>
    <t>0.733 (0.711, 0.757)</t>
  </si>
  <si>
    <t>0.782 (0.753, 0.802)</t>
  </si>
  <si>
    <t>0.751 (0.717, 0.769)</t>
  </si>
  <si>
    <t>0.760 (0.745, 0.795)</t>
  </si>
  <si>
    <t>0.754 (0.721, 0.769)</t>
  </si>
  <si>
    <t>0.748 (0.737, 0.781)</t>
  </si>
  <si>
    <t>0.730 (0.708, 0.763)</t>
  </si>
  <si>
    <t>0.794 (0.773, 0.818)</t>
  </si>
  <si>
    <t>0.792 (0.774, 0.805)</t>
  </si>
  <si>
    <t>0.759 (0.723, 0.795)</t>
  </si>
  <si>
    <t>0.727 (0.706, 0.743)</t>
  </si>
  <si>
    <t>0.759 (0.725, 0.779)</t>
  </si>
  <si>
    <t>0.754 (0.716, 0.772)</t>
  </si>
  <si>
    <t>0.794 (0.752, 0.812)</t>
  </si>
  <si>
    <t>0.791 (0.749, 0.817)</t>
  </si>
  <si>
    <t>0.778 (0.727, 0.805)</t>
  </si>
  <si>
    <t>0.782 (0.741, 0.809)</t>
  </si>
  <si>
    <t>0.852 (0.828, 0.883)</t>
  </si>
  <si>
    <t>0.805 (0.767, 0.856)</t>
  </si>
  <si>
    <t>0.768 (0.706, 0.803)</t>
  </si>
  <si>
    <t>0.772 (0.741, 0.810)</t>
  </si>
  <si>
    <t>0.773 (0.702, 0.801)</t>
  </si>
  <si>
    <t>0.773 (0.753, 0.798)</t>
  </si>
  <si>
    <t>0.820 (0.798, 0.850)</t>
  </si>
  <si>
    <t>0.781 (0.751, 0.826)</t>
  </si>
  <si>
    <t>0.816 (0.753, 0.852)</t>
  </si>
  <si>
    <t>0.781 (0.737, 0.835)</t>
  </si>
  <si>
    <t>0.877 (0.859, 0.890)</t>
  </si>
  <si>
    <t>0.816 (0.744, 0.839)</t>
  </si>
  <si>
    <t>0.835 (0.809, 0.881)</t>
  </si>
  <si>
    <t>0.773 (0.708, 0.812)</t>
  </si>
  <si>
    <t>0.805 (0.771, 0.846)</t>
  </si>
  <si>
    <t>0.789 (0.740, 0.840)</t>
  </si>
  <si>
    <t>0.812 (0.795, 0.842)</t>
  </si>
  <si>
    <t>0.796 (0.776, 0.827)</t>
  </si>
  <si>
    <t>0.804 (0.770, 0.820)</t>
  </si>
  <si>
    <t>0.778 (0.731, 0.814)</t>
  </si>
  <si>
    <t>0.866 (0.845, 0.878)</t>
  </si>
  <si>
    <t>0.854 (0.842, 0.873)</t>
  </si>
  <si>
    <t>0.798 (0.754, 0.812)</t>
  </si>
  <si>
    <t>0.755 (0.733, 0.790)</t>
  </si>
  <si>
    <t>0.787 (0.747, 0.802)</t>
  </si>
  <si>
    <t>0.780 (0.757, 0.796)</t>
  </si>
  <si>
    <t>Base + A1c Model</t>
  </si>
  <si>
    <t>0.809 (0.775, 0.825)</t>
  </si>
  <si>
    <t>0.760 (0.737, 0.780)</t>
  </si>
  <si>
    <t>0.789 (0.758, 0.799)</t>
  </si>
  <si>
    <t>0.740 (0.713, 0.757)</t>
  </si>
  <si>
    <t>0.843 (0.815, 0.857)</t>
  </si>
  <si>
    <t>0.815 (0.790, 0.834)</t>
  </si>
  <si>
    <t>0.791 (0.771, 0.810)</t>
  </si>
  <si>
    <t>0.742 (0.710, 0.763)</t>
  </si>
  <si>
    <t>0.783 (0.751, 0.804)</t>
  </si>
  <si>
    <t>0.755 (0.725, 0.769)</t>
  </si>
  <si>
    <t>0.765 (0.755, 0.793)</t>
  </si>
  <si>
    <t>0.753 (0.732, 0.777)</t>
  </si>
  <si>
    <t>0.765 (0.743, 0.782)</t>
  </si>
  <si>
    <t>0.735 (0.717, 0.763)</t>
  </si>
  <si>
    <t>0.796 (0.779, 0.817)</t>
  </si>
  <si>
    <t>0.793 (0.772, 0.810)</t>
  </si>
  <si>
    <t>0.764 (0.731, 0.797)</t>
  </si>
  <si>
    <t>0.732 (0.708, 0.759)</t>
  </si>
  <si>
    <t>0.756 (0.741, 0.785)</t>
  </si>
  <si>
    <t>0.754 (0.742, 0.780)</t>
  </si>
  <si>
    <t>0.788 (0.756, 0.807)</t>
  </si>
  <si>
    <t>0.789 (0.744, 0.812)</t>
  </si>
  <si>
    <t>0.775 (0.727, 0.799)</t>
  </si>
  <si>
    <t>0.782 (0.735, 0.811)</t>
  </si>
  <si>
    <t>0.848 (0.828, 0.870)</t>
  </si>
  <si>
    <t>0.806 (0.772, 0.848)</t>
  </si>
  <si>
    <t>0.770 (0.713, 0.793)</t>
  </si>
  <si>
    <t>0.777 (0.740, 0.806)</t>
  </si>
  <si>
    <t>0.763 (0.711, 0.807)</t>
  </si>
  <si>
    <t>0.768 (0.751, 0.804)</t>
  </si>
  <si>
    <t>0.820 (0.792, 0.849)</t>
  </si>
  <si>
    <t>0.779 (0.761, 0.826)</t>
  </si>
  <si>
    <t>0.824 (0.745, 0.852)</t>
  </si>
  <si>
    <t>0.780 (0.740, 0.832)</t>
  </si>
  <si>
    <t>0.858 (0.855, 0.887)</t>
  </si>
  <si>
    <t>0.833 (0.743, 0.849)</t>
  </si>
  <si>
    <t>0.836 (0.803, 0.886)</t>
  </si>
  <si>
    <t>0.764 (0.722, 0.804)</t>
  </si>
  <si>
    <t>0.809 (0.778, 0.850)</t>
  </si>
  <si>
    <t>0.793 (0.742, 0.854)</t>
  </si>
  <si>
    <t>0.811 (0.794, 0.842)</t>
  </si>
  <si>
    <t>0.789 (0.769, 0.825)</t>
  </si>
  <si>
    <t>0.802 (0.770, 0.821)</t>
  </si>
  <si>
    <t>0.771 (0.746, 0.814)</t>
  </si>
  <si>
    <t>0.864 (0.849, 0.878)</t>
  </si>
  <si>
    <t>0.863 (0.819, 0.865)</t>
  </si>
  <si>
    <t>0.794 (0.752, 0.813)</t>
  </si>
  <si>
    <t>0.752 (0.721, 0.793)</t>
  </si>
  <si>
    <t>0.787 (0.752, 0.803)</t>
  </si>
  <si>
    <t>0.772 (0.756, 0.794)</t>
  </si>
  <si>
    <t>Base + SDI Model</t>
  </si>
  <si>
    <t>0.813 (0.796, 0.818)</t>
  </si>
  <si>
    <t>0.770 (0.745, 0.785)</t>
  </si>
  <si>
    <t>0.793 (0.758, 0.800)</t>
  </si>
  <si>
    <t>0.751 (0.728, 0.770)</t>
  </si>
  <si>
    <t>0.841 (0.820, 0.861)</t>
  </si>
  <si>
    <t>0.825 (0.805, 0.840)</t>
  </si>
  <si>
    <t>0.791 (0.777, 0.809)</t>
  </si>
  <si>
    <t>0.736 (0.714, 0.768)</t>
  </si>
  <si>
    <t>0.783 (0.764, 0.806)</t>
  </si>
  <si>
    <t>0.764 (0.735, 0.788)</t>
  </si>
  <si>
    <t>0.779 (0.737, 0.816)</t>
  </si>
  <si>
    <t>0.777 (0.750, 0.805)</t>
  </si>
  <si>
    <t>0.749 (0.739, 0.806)</t>
  </si>
  <si>
    <t>0.762 (0.724, 0.818)</t>
  </si>
  <si>
    <t>0.803 (0.733, 0.856)</t>
  </si>
  <si>
    <t>0.816 (0.782, 0.846)</t>
  </si>
  <si>
    <t>0.780 (0.730, 0.829)</t>
  </si>
  <si>
    <t>0.763 (0.717, 0.791)</t>
  </si>
  <si>
    <t>0.764 (0.698, 0.812)</t>
  </si>
  <si>
    <t>0.784 (0.741, 0.821)</t>
  </si>
  <si>
    <t>0.781 (0.725, 0.823)</t>
  </si>
  <si>
    <t>0.774 (0.742, 0.823)</t>
  </si>
  <si>
    <t>0.763 (0.672, 0.796)</t>
  </si>
  <si>
    <t>0.758 (0.746, 0.793)</t>
  </si>
  <si>
    <t>0.837 (0.804, 0.876)</t>
  </si>
  <si>
    <t>0.777 (0.719, 0.855)</t>
  </si>
  <si>
    <t>0.773 (0.711, 0.829)</t>
  </si>
  <si>
    <t>0.745 (0.737, 0.803)</t>
  </si>
  <si>
    <t>0.747 (0.613, 0.792)</t>
  </si>
  <si>
    <t>0.773 (0.723, 0.842)</t>
  </si>
  <si>
    <t>0.876 (0.825, 0.905)</t>
  </si>
  <si>
    <t>0.788 (0.743, 0.865)</t>
  </si>
  <si>
    <t>0.871 (0.787, 0.908)</t>
  </si>
  <si>
    <t>0.834 (0.774, 0.898)</t>
  </si>
  <si>
    <t>0.933 (0.899, 0.957)</t>
  </si>
  <si>
    <t>0.767 (0.629, 0.811)</t>
  </si>
  <si>
    <t>0.916 (0.840, 0.943)</t>
  </si>
  <si>
    <t>0.811 (0.739, 0.903)</t>
  </si>
  <si>
    <t>0.841 (0.797, 0.957)</t>
  </si>
  <si>
    <t>0.874 (0.787, 0.913)</t>
  </si>
  <si>
    <t>0.842 (0.792, 0.906)</t>
  </si>
  <si>
    <t>0.802 (0.775, 0.840)</t>
  </si>
  <si>
    <t>0.824 (0.786, 0.879)</t>
  </si>
  <si>
    <t>0.791 (0.727, 0.851)</t>
  </si>
  <si>
    <t>0.842 (0.825, 0.878)</t>
  </si>
  <si>
    <t>0.839 (0.825, 0.896)</t>
  </si>
  <si>
    <t>0.843 (0.782, 0.891)</t>
  </si>
  <si>
    <t>0.765 (0.736, 0.848)</t>
  </si>
  <si>
    <t>0.783 (0.740, 0.840)</t>
  </si>
  <si>
    <t>0.742 (0.726, 0.895)</t>
  </si>
  <si>
    <t>Full Model</t>
  </si>
  <si>
    <t>0.816 (0.800, 0.822)</t>
  </si>
  <si>
    <t>0.769 (0.748, 0.791)</t>
  </si>
  <si>
    <t>0.795 (0.761, 0.803)</t>
  </si>
  <si>
    <t>0.752 (0.732, 0.773)</t>
  </si>
  <si>
    <t>0.845 (0.826, 0.869)</t>
  </si>
  <si>
    <t>0.830 (0.810, 0.847)</t>
  </si>
  <si>
    <t>0.795 (0.780, 0.811)</t>
  </si>
  <si>
    <t>0.737 (0.716, 0.771)</t>
  </si>
  <si>
    <t>0.789 (0.765, 0.807)</t>
  </si>
  <si>
    <t>0.767 (0.741, 0.792)</t>
  </si>
  <si>
    <t>0.785 (0.744, 0.822)</t>
  </si>
  <si>
    <t>0.784 (0.758, 0.803)</t>
  </si>
  <si>
    <t>0.757 (0.738, 0.808)</t>
  </si>
  <si>
    <t>0.766 (0.727, 0.802)</t>
  </si>
  <si>
    <t>0.816 (0.756, 0.862)</t>
  </si>
  <si>
    <t>0.831 (0.805, 0.849)</t>
  </si>
  <si>
    <t>0.782 (0.729, 0.827)</t>
  </si>
  <si>
    <t>0.761 (0.713, 0.798)</t>
  </si>
  <si>
    <t>0.767 (0.703, 0.811)</t>
  </si>
  <si>
    <t>0.799 (0.742, 0.827)</t>
  </si>
  <si>
    <t>0.788 (0.730, 0.828)</t>
  </si>
  <si>
    <t>0.778 (0.745, 0.833)</t>
  </si>
  <si>
    <t>0.770 (0.670, 0.819)</t>
  </si>
  <si>
    <t>0.770 (0.741, 0.822)</t>
  </si>
  <si>
    <t>0.830 (0.801, 0.878)</t>
  </si>
  <si>
    <t>0.788 (0.748, 0.857)</t>
  </si>
  <si>
    <t>0.748 (0.708, 0.829)</t>
  </si>
  <si>
    <t>0.754 (0.733, 0.801)</t>
  </si>
  <si>
    <t>0.758 (0.629, 0.817)</t>
  </si>
  <si>
    <t>0.771 (0.720, 0.856)</t>
  </si>
  <si>
    <t>0.880 (0.821, 0.903)</t>
  </si>
  <si>
    <t>0.823 (0.760, 0.869)</t>
  </si>
  <si>
    <t>0.876 (0.807, 0.907)</t>
  </si>
  <si>
    <t>0.849 (0.786, 0.882)</t>
  </si>
  <si>
    <t>0.946 (0.901, 0.956)</t>
  </si>
  <si>
    <t>0.787 (0.637, 0.823)</t>
  </si>
  <si>
    <t>0.922 (0.848, 0.957)</t>
  </si>
  <si>
    <t>0.836 (0.743, 0.912)</t>
  </si>
  <si>
    <t>0.841 (0.800, 0.967)</t>
  </si>
  <si>
    <t>0.875 (0.790, 0.913)</t>
  </si>
  <si>
    <t>0.842 (0.799, 0.909)</t>
  </si>
  <si>
    <t>0.805 (0.777, 0.840)</t>
  </si>
  <si>
    <t>0.819 (0.786, 0.887)</t>
  </si>
  <si>
    <t>0.798 (0.730, 0.819)</t>
  </si>
  <si>
    <t>0.852 (0.827, 0.865)</t>
  </si>
  <si>
    <t>0.838 (0.830, 0.904)</t>
  </si>
  <si>
    <t>0.846 (0.788, 0.887)</t>
  </si>
  <si>
    <t>0.763 (0.738, 0.860)</t>
  </si>
  <si>
    <t>0.784 (0.724, 0.834)</t>
  </si>
  <si>
    <t>0.776 (0.740, 0.897)</t>
  </si>
  <si>
    <t>Base Model for SDI population</t>
  </si>
  <si>
    <t>0.812 (0.794, 0.817)</t>
  </si>
  <si>
    <t>0.768 (0.741, 0.785)</t>
  </si>
  <si>
    <t>0.790 (0.758, 0.797)</t>
  </si>
  <si>
    <t>0.746 (0.724, 0.771)</t>
  </si>
  <si>
    <t>0.839 (0.819, 0.858)</t>
  </si>
  <si>
    <t>0.822 (0.802, 0.836)</t>
  </si>
  <si>
    <t>0.789 (0.775, 0.806)</t>
  </si>
  <si>
    <t>0.734 (0.708, 0.766)</t>
  </si>
  <si>
    <t>0.779 (0.762, 0.807)</t>
  </si>
  <si>
    <t>0.762 (0.734, 0.790)</t>
  </si>
  <si>
    <t>0.779 (0.735, 0.815)</t>
  </si>
  <si>
    <t>0.775 (0.749, 0.806)</t>
  </si>
  <si>
    <t>0.756 (0.738, 0.804)</t>
  </si>
  <si>
    <t>0.761 (0.721, 0.817)</t>
  </si>
  <si>
    <t>0.801 (0.731, 0.858)</t>
  </si>
  <si>
    <t>0.827 (0.777, 0.837)</t>
  </si>
  <si>
    <t>0.778 (0.720, 0.828)</t>
  </si>
  <si>
    <t>0.754 (0.726, 0.795)</t>
  </si>
  <si>
    <t>0.766 (0.698, 0.810)</t>
  </si>
  <si>
    <t>0.778 (0.741, 0.831)</t>
  </si>
  <si>
    <t>0.780 (0.725, 0.827)</t>
  </si>
  <si>
    <t>0.775 (0.746, 0.829)</t>
  </si>
  <si>
    <t>0.763 (0.674, 0.795)</t>
  </si>
  <si>
    <t>0.764 (0.742, 0.804)</t>
  </si>
  <si>
    <t>0.837 (0.799, 0.872)</t>
  </si>
  <si>
    <t>0.780 (0.701, 0.854)</t>
  </si>
  <si>
    <t>0.761 (0.713, 0.836)</t>
  </si>
  <si>
    <t>0.756 (0.743, 0.810)</t>
  </si>
  <si>
    <t>0.742 (0.612, 0.797)</t>
  </si>
  <si>
    <t>0.794 (0.728, 0.841)</t>
  </si>
  <si>
    <t>0.875 (0.819, 0.902)</t>
  </si>
  <si>
    <t>0.796 (0.743, 0.863)</t>
  </si>
  <si>
    <t>0.875 (0.791, 0.895)</t>
  </si>
  <si>
    <t>0.821 (0.757, 0.897)</t>
  </si>
  <si>
    <t>0.934 (0.900, 0.950)</t>
  </si>
  <si>
    <t>0.770 (0.626, 0.820)</t>
  </si>
  <si>
    <t>0.913 (0.835, 0.947)</t>
  </si>
  <si>
    <t>0.817 (0.715, 0.894)</t>
  </si>
  <si>
    <t>0.845 (0.794, 0.961)</t>
  </si>
  <si>
    <t>0.863 (0.781, 0.915)</t>
  </si>
  <si>
    <t>0.834 (0.789, 0.915)</t>
  </si>
  <si>
    <t>0.806 (0.768, 0.838)</t>
  </si>
  <si>
    <t>0.817 (0.781, 0.893)</t>
  </si>
  <si>
    <t>0.784 (0.741, 0.858)</t>
  </si>
  <si>
    <t>0.841 (0.821, 0.874)</t>
  </si>
  <si>
    <t>0.833 (0.824, 0.896)</t>
  </si>
  <si>
    <t>0.838 (0.778, 0.887)</t>
  </si>
  <si>
    <t>0.768 (0.734, 0.845)</t>
  </si>
  <si>
    <t>0.779 (0.722, 0.827)</t>
  </si>
  <si>
    <t>0.746 (0.714, 0.893)</t>
  </si>
  <si>
    <t>Change in C-statistics by race and ethnicity</t>
  </si>
  <si>
    <t>Base VS. PCE</t>
  </si>
  <si>
    <t>Whites</t>
  </si>
  <si>
    <t>0.009 (0.008, 0.011)</t>
  </si>
  <si>
    <t>0.007 (0.006, 0.007)</t>
  </si>
  <si>
    <t>0.007 (0.006, 0.009)</t>
  </si>
  <si>
    <t>0.013 (0.010, 0.015)</t>
  </si>
  <si>
    <t>0.020 (0.018, 0.023)</t>
  </si>
  <si>
    <t>0.012 (0.010, 0.014)</t>
  </si>
  <si>
    <t>0.008 (0.007, 0.009)</t>
  </si>
  <si>
    <t>0.004 (0.002, 0.005)</t>
  </si>
  <si>
    <t>0.005 (0.003, 0.006)</t>
  </si>
  <si>
    <t>Blacks</t>
  </si>
  <si>
    <t>0.014 (0.011, 0.016)</t>
  </si>
  <si>
    <t>0.014 (0.009, 0.019)</t>
  </si>
  <si>
    <t>0.010 (0.007, 0.013)</t>
  </si>
  <si>
    <t>0.012 (0.007, 0.016)</t>
  </si>
  <si>
    <t>0.023 (0.018, 0.028)</t>
  </si>
  <si>
    <t>0.030 (0.024, 0.036)</t>
  </si>
  <si>
    <t>0.013 (0.007, 0.019)</t>
  </si>
  <si>
    <t>0.012 (0.006, 0.019)</t>
  </si>
  <si>
    <t>0.010 (0.006, 0.013)</t>
  </si>
  <si>
    <t>0.014 (0.007, 0.020)</t>
  </si>
  <si>
    <t>0.017 (0.013, 0.020)</t>
  </si>
  <si>
    <t>0.017 (0.012, 0.021)</t>
  </si>
  <si>
    <t>0.016 (0.012, 0.020)</t>
  </si>
  <si>
    <t>0.007 (0.001, 0.012)</t>
  </si>
  <si>
    <t>0.023 (0.015, 0.030)</t>
  </si>
  <si>
    <t>0.022 (0.012, 0.031)</t>
  </si>
  <si>
    <t>0.017 (0.011, 0.023)</t>
  </si>
  <si>
    <t>0.005 (-0.003, 0.012)</t>
  </si>
  <si>
    <t>0.006 (-0.004, 0.016)</t>
  </si>
  <si>
    <t>0.013 (0.007, 0.018)</t>
  </si>
  <si>
    <t>0.006 (0.001, 0.012)</t>
  </si>
  <si>
    <t>0.005 (-0.001, 0.011)</t>
  </si>
  <si>
    <t>0.013 (0.004, 0.021)</t>
  </si>
  <si>
    <t>0.003 (-0.012, 0.018)</t>
  </si>
  <si>
    <t>0.017 (-0.002, 0.035)</t>
  </si>
  <si>
    <t>0.000 (-0.007, 0.007)</t>
  </si>
  <si>
    <t>0.011 (0.003, 0.019)</t>
  </si>
  <si>
    <t>0.010 (-0.005, 0.025)</t>
  </si>
  <si>
    <t>0.010 (0.007, 0.014)</t>
  </si>
  <si>
    <t>0.016 (0.011, 0.021)</t>
  </si>
  <si>
    <t>0.005 (0.000, 0.009)</t>
  </si>
  <si>
    <t>0.009 (0.003, 0.015)</t>
  </si>
  <si>
    <t>0.019 (0.012, 0.026)</t>
  </si>
  <si>
    <t>0.033 (0.023, 0.042)</t>
  </si>
  <si>
    <t>0.010 (0.004, 0.016)</t>
  </si>
  <si>
    <t>0.005 (-0.004, 0.014)</t>
  </si>
  <si>
    <t>0.006 (-0.001, 0.012)</t>
  </si>
  <si>
    <t>0.010 (0.001, 0.019)</t>
  </si>
  <si>
    <t>Base + SDI vs. base</t>
  </si>
  <si>
    <t>0.001 (-0.000, 0.002)</t>
  </si>
  <si>
    <t>-0.000 (-0.001, 0.001)</t>
  </si>
  <si>
    <t>0.001 (-0.001, 0.003)</t>
  </si>
  <si>
    <t>0.002 (0.000, 0.004)</t>
  </si>
  <si>
    <t>0.001 (-0.003, 0.004)</t>
  </si>
  <si>
    <t>0.002 (-0.001, 0.004)</t>
  </si>
  <si>
    <t>0.002 (-0.000, 0.005)</t>
  </si>
  <si>
    <t>0.001 (-0.002, 0.004)</t>
  </si>
  <si>
    <t>-0.000 (-0.002, 0.002)</t>
  </si>
  <si>
    <t>-0.001 (-0.005, 0.002)</t>
  </si>
  <si>
    <t>-0.002 (-0.004, 0.000)</t>
  </si>
  <si>
    <t>-0.005 (-0.010, -0.000)</t>
  </si>
  <si>
    <t>0.003 (0.001, 0.004)</t>
  </si>
  <si>
    <t>-0.001 (-0.006, 0.005)</t>
  </si>
  <si>
    <t>0.000 (-0.003, 0.004)</t>
  </si>
  <si>
    <t>-0.005 (-0.009, -0.001)</t>
  </si>
  <si>
    <t>0.000 (-0.003, 0.003)</t>
  </si>
  <si>
    <t>-0.008 (-0.018, 0.002)</t>
  </si>
  <si>
    <t>0.000 (-0.002, 0.003)</t>
  </si>
  <si>
    <t>0.003 (-0.002, 0.008)</t>
  </si>
  <si>
    <t>-0.000 (-0.004, 0.003)</t>
  </si>
  <si>
    <t>0.005 (-0.002, 0.011)</t>
  </si>
  <si>
    <t>0.001 (-0.002, 0.003)</t>
  </si>
  <si>
    <t>-0.000 (-0.007, 0.006)</t>
  </si>
  <si>
    <t>-0.001 (-0.007, 0.004)</t>
  </si>
  <si>
    <t>-0.000 (-0.006, 0.006)</t>
  </si>
  <si>
    <t>0.003 (0.001, 0.005)</t>
  </si>
  <si>
    <t>0.003 (-0.000, 0.005)</t>
  </si>
  <si>
    <t>0.002 (-0.001, 0.005)</t>
  </si>
  <si>
    <t>-0.001 (-0.007, 0.005)</t>
  </si>
  <si>
    <t>0.003 (-0.000, 0.007)</t>
  </si>
  <si>
    <t>0.005 (0.003, 0.007)</t>
  </si>
  <si>
    <t>-0.001 (-0.006, 0.004)</t>
  </si>
  <si>
    <t>0.005 (0.002, 0.008)</t>
  </si>
  <si>
    <t>0.007 (-0.004, 0.018)</t>
  </si>
  <si>
    <t>Full vs. base</t>
  </si>
  <si>
    <t>0.004 (0.003, 0.004)</t>
  </si>
  <si>
    <t>0.007 (0.005, 0.008)</t>
  </si>
  <si>
    <t>0.004 (0.002, 0.006)</t>
  </si>
  <si>
    <t>0.003 (0.000, 0.005)</t>
  </si>
  <si>
    <t>0.007 (0.004, 0.010)</t>
  </si>
  <si>
    <t>0.004 (0.001, 0.006)</t>
  </si>
  <si>
    <t>0.005 (0.001, 0.009)</t>
  </si>
  <si>
    <t>0.007 (0.004, 0.011)</t>
  </si>
  <si>
    <t>0.007 (0.000, 0.014)</t>
  </si>
  <si>
    <t>0.004 (-0.001, 0.009)</t>
  </si>
  <si>
    <t>0.004 (-0.002, 0.010)</t>
  </si>
  <si>
    <t>0.005 (-0.000, 0.011)</t>
  </si>
  <si>
    <t>0.004 (-0.000, 0.008)</t>
  </si>
  <si>
    <t>0.000 (-0.005, 0.005)</t>
  </si>
  <si>
    <t>-0.000 (-0.007, 0.007)</t>
  </si>
  <si>
    <t>0.003 (-0.003, 0.009)</t>
  </si>
  <si>
    <t>0.005 (-0.005, 0.016)</t>
  </si>
  <si>
    <t>0.000 (-0.006, 0.006)</t>
  </si>
  <si>
    <t>0.003 (-0.005, 0.012)</t>
  </si>
  <si>
    <t>-0.005 (-0.025, 0.015)</t>
  </si>
  <si>
    <t>0.009 (-0.002, 0.021)</t>
  </si>
  <si>
    <t>0.003 (-0.001, 0.008)</t>
  </si>
  <si>
    <t>0.010 (-0.002, 0.023)</t>
  </si>
  <si>
    <t>0.009 (-0.004, 0.022)</t>
  </si>
  <si>
    <t>0.014 (-0.002, 0.030)</t>
  </si>
  <si>
    <t>0.004 (-0.003, 0.011)</t>
  </si>
  <si>
    <t>0.005 (-0.011, 0.021)</t>
  </si>
  <si>
    <t>0.002 (-0.007, 0.010)</t>
  </si>
  <si>
    <t>0.003 (-0.001, 0.007)</t>
  </si>
  <si>
    <t>-0.002 (-0.013, 0.009)</t>
  </si>
  <si>
    <t>0.007 (0.002, 0.013)</t>
  </si>
  <si>
    <t>0.000 (-0.004, 0.005)</t>
  </si>
  <si>
    <t>-0.002 (-0.010, 0.007)</t>
  </si>
  <si>
    <t>0.014 (-0.004, 0.031)</t>
  </si>
  <si>
    <t>Table S6. Calibration slope and interquartile interval for the base model and each model adding novel predictors individually and together for total CVD</t>
  </si>
  <si>
    <t>All cardiovascular disease</t>
  </si>
  <si>
    <t>Base</t>
  </si>
  <si>
    <t>Base+Albuminuria</t>
  </si>
  <si>
    <t>Base+A1C</t>
  </si>
  <si>
    <t>Base+SDI</t>
  </si>
  <si>
    <t>Base+All</t>
  </si>
  <si>
    <t>Subgroup</t>
  </si>
  <si>
    <t>Development</t>
  </si>
  <si>
    <t>Overall</t>
  </si>
  <si>
    <t>1.06 (0.81, 1.23)</t>
  </si>
  <si>
    <t>1.00 (0.81, 1.14)</t>
  </si>
  <si>
    <t>1.07 (0.84, 1.26)</t>
  </si>
  <si>
    <t>1.01 (0.85, 1.15)</t>
  </si>
  <si>
    <t>1.06 (0.84, 1.17)</t>
  </si>
  <si>
    <t>1.00 (0.70, 1.18)</t>
  </si>
  <si>
    <t>1.07 (0.89, 1.15)</t>
  </si>
  <si>
    <t>0.99 (0.72, 1.13)</t>
  </si>
  <si>
    <t>1.07 (0.89, 1.18)</t>
  </si>
  <si>
    <t>1.00 (0.73, 1.13)</t>
  </si>
  <si>
    <t>Age &lt;55</t>
  </si>
  <si>
    <t>1.15 (0.90, 1.48)</t>
  </si>
  <si>
    <t>1.05 (0.72, 1.23)</t>
  </si>
  <si>
    <t>1.16 (0.95, 1.53)</t>
  </si>
  <si>
    <t>1.06 (0.72, 1.26)</t>
  </si>
  <si>
    <t>1.16 (0.91, 1.47)</t>
  </si>
  <si>
    <t>1.02 (0.61, 1.25)</t>
  </si>
  <si>
    <t>1.08 (0.91, 1.27)</t>
  </si>
  <si>
    <t>0.94 (0.59, 1.06)</t>
  </si>
  <si>
    <t>1.11 (0.90, 1.31)</t>
  </si>
  <si>
    <t>0.99 (0.61, 1.12)</t>
  </si>
  <si>
    <t>Age 55-64</t>
  </si>
  <si>
    <t>0.98 (0.78, 1.13)</t>
  </si>
  <si>
    <t>0.94 (0.71, 1.03)</t>
  </si>
  <si>
    <t>1.01 (0.79, 1.22)</t>
  </si>
  <si>
    <t>0.96 (0.71, 1.03)</t>
  </si>
  <si>
    <t>0.96 (0.76, 1.17)</t>
  </si>
  <si>
    <t>0.93 (0.63, 1.01)</t>
  </si>
  <si>
    <t>0.93 (0.80, 1.18)</t>
  </si>
  <si>
    <t>0.85 (0.67, 1.00)</t>
  </si>
  <si>
    <t>0.96 (0.82, 1.21)</t>
  </si>
  <si>
    <t>0.86 (0.73, 1.03)</t>
  </si>
  <si>
    <t>Age 65+</t>
  </si>
  <si>
    <t>1.05 (0.81, 1.17)</t>
  </si>
  <si>
    <t>0.96 (0.77, 1.14)</t>
  </si>
  <si>
    <t>1.06 (0.83, 1.23)</t>
  </si>
  <si>
    <t>0.97 (0.80, 1.15)</t>
  </si>
  <si>
    <t>1.05 (0.86, 1.14)</t>
  </si>
  <si>
    <t>1.01 (0.71, 1.19)</t>
  </si>
  <si>
    <t>1.10 (0.96, 1.27)</t>
  </si>
  <si>
    <t>1.05 (0.73, 1.15)</t>
  </si>
  <si>
    <t>1.10 (0.97, 1.26)</t>
  </si>
  <si>
    <t>1.03 (0.74, 1.17)</t>
  </si>
  <si>
    <t>0.94 (0.81, 1.13)</t>
  </si>
  <si>
    <t>0.95 (0.85, 1.13)</t>
  </si>
  <si>
    <t>0.95 (0.73, 1.14)</t>
  </si>
  <si>
    <t>0.94 (0.72, 1.08)</t>
  </si>
  <si>
    <t>0.95 (0.72, 1.10)</t>
  </si>
  <si>
    <t>1.03 (0.81, 1.16)</t>
  </si>
  <si>
    <t>1.03 (0.83, 1.17)</t>
  </si>
  <si>
    <t>1.02 (0.68, 1.16)</t>
  </si>
  <si>
    <t>1.04 (0.73, 1.20)</t>
  </si>
  <si>
    <t>1.05 (0.73, 1.20)</t>
  </si>
  <si>
    <t>1.02 (0.87, 1.30)</t>
  </si>
  <si>
    <t>1.01 (0.82, 1.14)</t>
  </si>
  <si>
    <t>1.03 (0.88, 1.30)</t>
  </si>
  <si>
    <t>1.02 (0.85, 1.15)</t>
  </si>
  <si>
    <t>1.02 (0.89, 1.22)</t>
  </si>
  <si>
    <t>1.03 (0.72, 1.15)</t>
  </si>
  <si>
    <t>1.09 (0.94, 1.16)</t>
  </si>
  <si>
    <t>1.02 (0.72, 1.13)</t>
  </si>
  <si>
    <t>1.09 (0.94, 1.20)</t>
  </si>
  <si>
    <t>1.03 (0.73, 1.16)</t>
  </si>
  <si>
    <t>1.23 (0.88, 1.47)</t>
  </si>
  <si>
    <t>1.11 (0.79, 1.24)</t>
  </si>
  <si>
    <t>1.25 (0.92, 1.49)</t>
  </si>
  <si>
    <t>1.13 (0.82, 1.25)</t>
  </si>
  <si>
    <t>1.19 (0.86, 1.35)</t>
  </si>
  <si>
    <t>1.09 (0.76, 1.18)</t>
  </si>
  <si>
    <t>1.07 (0.57, 1.25)</t>
  </si>
  <si>
    <t>1.10 (0.74, 1.26)</t>
  </si>
  <si>
    <t>0.94 (0.51, 1.24)</t>
  </si>
  <si>
    <t>1.12 (0.73, 1.27)</t>
  </si>
  <si>
    <t>0.84 (0.74, 1.00)</t>
  </si>
  <si>
    <t>0.94 (0.80, 1.05)</t>
  </si>
  <si>
    <t>0.86 (0.73, 1.04)</t>
  </si>
  <si>
    <t>0.92 (0.80, 1.08)</t>
  </si>
  <si>
    <t>0.84 (0.70, 1.15)</t>
  </si>
  <si>
    <t>0.94 (0.75, 1.07)</t>
  </si>
  <si>
    <t>0.78 (0.50, 1.20)</t>
  </si>
  <si>
    <t>0.72 (0.61, 0.93)</t>
  </si>
  <si>
    <t>0.78 (0.50, 1.28)</t>
  </si>
  <si>
    <t>0.75 (0.58, 0.94)</t>
  </si>
  <si>
    <t>0.80 (0.55, 0.94)</t>
  </si>
  <si>
    <t>0.87 (0.73, 0.97)</t>
  </si>
  <si>
    <t>0.73 (0.50, 0.94)</t>
  </si>
  <si>
    <t>0.85 (0.72, 1.00)</t>
  </si>
  <si>
    <t>0.81 (0.65, 0.93)</t>
  </si>
  <si>
    <t>0.86 (0.70, 1.01)</t>
  </si>
  <si>
    <t>0.56 (0.36, 0.95)</t>
  </si>
  <si>
    <t>0.75 (0.56, 1.09)</t>
  </si>
  <si>
    <t>0.63 (0.33, 0.95)</t>
  </si>
  <si>
    <t>0.75 (0.66, 1.07)</t>
  </si>
  <si>
    <t>Other</t>
  </si>
  <si>
    <t>0.98 (0.38, 1.06)</t>
  </si>
  <si>
    <t>0.60 (0.47, 0.83)</t>
  </si>
  <si>
    <t>0.99 (0.39, 1.03)</t>
  </si>
  <si>
    <t>0.68 (0.47, 0.87)</t>
  </si>
  <si>
    <t>0.95 (0.38, 1.04)</t>
  </si>
  <si>
    <t>0.57 (0.39, 0.82)</t>
  </si>
  <si>
    <t>0.90 (0.44, 1.01)</t>
  </si>
  <si>
    <t>0.62 (0.42, 0.74)</t>
  </si>
  <si>
    <t>0.93 (0.43, 1.05)</t>
  </si>
  <si>
    <t>0.61 (0.44, 0.73)</t>
  </si>
  <si>
    <t>Non-diabetics</t>
  </si>
  <si>
    <t>1.03 (0.83, 1.22)</t>
  </si>
  <si>
    <t>0.96 (0.81, 1.15)</t>
  </si>
  <si>
    <t>1.04 (0.84, 1.22)</t>
  </si>
  <si>
    <t>0.96 (0.85, 1.15)</t>
  </si>
  <si>
    <t>1.03 (0.85, 1.19)</t>
  </si>
  <si>
    <t>1.02 (0.71, 1.15)</t>
  </si>
  <si>
    <t>1.05 (0.83, 1.16)</t>
  </si>
  <si>
    <t>1.01 (0.73, 1.17)</t>
  </si>
  <si>
    <t>1.06 (0.82, 1.16)</t>
  </si>
  <si>
    <t>1.01 (0.73, 1.16)</t>
  </si>
  <si>
    <t>Diabetics</t>
  </si>
  <si>
    <t>1.04 (0.84, 1.25)</t>
  </si>
  <si>
    <t>1.00 (0.75, 1.15)</t>
  </si>
  <si>
    <t>1.06 (0.89, 1.30)</t>
  </si>
  <si>
    <t>1.02 (0.76, 1.16)</t>
  </si>
  <si>
    <t>1.04 (0.87, 1.25)</t>
  </si>
  <si>
    <t>1.00 (0.66, 1.14)</t>
  </si>
  <si>
    <t>1.04 (0.90, 1.20)</t>
  </si>
  <si>
    <t>0.95 (0.68, 1.12)</t>
  </si>
  <si>
    <t>1.05 (0.97, 1.27)</t>
  </si>
  <si>
    <t>0.97 (0.68, 1.14)</t>
  </si>
  <si>
    <t>BMI 20-29.9</t>
  </si>
  <si>
    <t>1.02 (0.77, 1.35)</t>
  </si>
  <si>
    <t>0.96 (0.79, 1.13)</t>
  </si>
  <si>
    <t>1.03 (0.78, 1.36)</t>
  </si>
  <si>
    <t>0.97 (0.82, 1.15)</t>
  </si>
  <si>
    <t>1.03 (0.83, 1.25)</t>
  </si>
  <si>
    <t>0.99 (0.66, 1.16)</t>
  </si>
  <si>
    <t>1.03 (0.88, 1.17)</t>
  </si>
  <si>
    <t>0.99 (0.68, 1.12)</t>
  </si>
  <si>
    <t>1.01 (0.84, 1.19)</t>
  </si>
  <si>
    <t>1.00 (0.69, 1.14)</t>
  </si>
  <si>
    <t>BMI 30-39.9</t>
  </si>
  <si>
    <t>1.12 (0.87, 1.27)</t>
  </si>
  <si>
    <t>1.01 (0.86, 1.16)</t>
  </si>
  <si>
    <t>1.13 (0.89, 1.37)</t>
  </si>
  <si>
    <t>1.02 (0.81, 1.15)</t>
  </si>
  <si>
    <t>1.08 (0.86, 1.19)</t>
  </si>
  <si>
    <t>1.01 (0.76, 1.16)</t>
  </si>
  <si>
    <t>1.12 (0.98, 1.26)</t>
  </si>
  <si>
    <t>0.98 (0.80, 1.13)</t>
  </si>
  <si>
    <t>1.15 (0.93, 1.26)</t>
  </si>
  <si>
    <t>1.00 (0.78, 1.16)</t>
  </si>
  <si>
    <t>BMI40+</t>
  </si>
  <si>
    <t>1.39 (1.14, 1.68)</t>
  </si>
  <si>
    <t>1.30 (0.96, 1.47)</t>
  </si>
  <si>
    <t>1.47 (1.15, 1.72)</t>
  </si>
  <si>
    <t>1.32 (0.95, 1.48)</t>
  </si>
  <si>
    <t>1.43 (1.12, 1.60)</t>
  </si>
  <si>
    <t>1.30 (0.95, 1.40)</t>
  </si>
  <si>
    <t>1.38 (1.16, 1.56)</t>
  </si>
  <si>
    <t>1.35 (0.96, 1.49)</t>
  </si>
  <si>
    <t>1.37 (1.13, 1.57)</t>
  </si>
  <si>
    <t>1.35 (0.96, 1.61)</t>
  </si>
  <si>
    <t>eGFR 60+</t>
  </si>
  <si>
    <t>1.03 (0.78, 1.20)</t>
  </si>
  <si>
    <t>0.98 (0.81, 1.12)</t>
  </si>
  <si>
    <t>1.04 (0.78, 1.23)</t>
  </si>
  <si>
    <t>0.99 (0.84, 1.13)</t>
  </si>
  <si>
    <t>1.04 (0.79, 1.16)</t>
  </si>
  <si>
    <t>0.98 (0.65, 1.12)</t>
  </si>
  <si>
    <t>1.08 (0.84, 1.15)</t>
  </si>
  <si>
    <t>0.98 (0.64, 1.10)</t>
  </si>
  <si>
    <t>1.09 (0.85, 1.15)</t>
  </si>
  <si>
    <t>0.99 (0.65, 1.11)</t>
  </si>
  <si>
    <t>eGFR &lt;60</t>
  </si>
  <si>
    <t>1.10 (0.87, 1.35)</t>
  </si>
  <si>
    <t>1.02 (0.83, 1.22)</t>
  </si>
  <si>
    <t>1.11 (0.88, 1.36)</t>
  </si>
  <si>
    <t>1.05 (0.85, 1.23)</t>
  </si>
  <si>
    <t>1.10 (0.92, 1.26)</t>
  </si>
  <si>
    <t>1.04 (0.70, 1.24)</t>
  </si>
  <si>
    <t>1.12 (1.06, 1.39)</t>
  </si>
  <si>
    <t>1.03 (0.86, 1.15)</t>
  </si>
  <si>
    <t>1.15 (1.04, 1.36)</t>
  </si>
  <si>
    <t>1.02 (0.62, 1.19)</t>
  </si>
  <si>
    <t>ACR &lt;30 or missing</t>
  </si>
  <si>
    <t>1.02 (0.76, 1.15)</t>
  </si>
  <si>
    <t>0.93 (0.67, 1.10)</t>
  </si>
  <si>
    <t>1.07 (0.81, 1.22)</t>
  </si>
  <si>
    <t>1.02 (0.78, 1.14)</t>
  </si>
  <si>
    <t>1.02 (0.80, 1.09)</t>
  </si>
  <si>
    <t>0.99 (0.67, 1.11)</t>
  </si>
  <si>
    <t>1.00 (0.83, 1.13)</t>
  </si>
  <si>
    <t>0.97 (0.69, 1.06)</t>
  </si>
  <si>
    <t>1.06 (0.87, 1.19)</t>
  </si>
  <si>
    <t>1.01 (0.71, 1.11)</t>
  </si>
  <si>
    <t>ACR 30-299</t>
  </si>
  <si>
    <t>1.22 (1.00, 1.54)</t>
  </si>
  <si>
    <t>1.17 (0.91, 1.40)</t>
  </si>
  <si>
    <t>1.05 (0.84, 1.25)</t>
  </si>
  <si>
    <t>0.96 (0.75, 1.19)</t>
  </si>
  <si>
    <t>1.20 (1.00, 1.44)</t>
  </si>
  <si>
    <t>1.14 (0.89, 1.36)</t>
  </si>
  <si>
    <t>1.28 (1.13, 1.48)</t>
  </si>
  <si>
    <t>1.14 (0.99, 1.33)</t>
  </si>
  <si>
    <t>1.10 (0.98, 1.23)</t>
  </si>
  <si>
    <t>0.91 (0.69, 1.03)</t>
  </si>
  <si>
    <t>ACR 300+</t>
  </si>
  <si>
    <t>1.44 (1.28, 1.85)</t>
  </si>
  <si>
    <t>1.39 (1.14, 1.65)</t>
  </si>
  <si>
    <t>1.08 (0.97, 1.35)</t>
  </si>
  <si>
    <t>1.05 (0.84, 1.20)</t>
  </si>
  <si>
    <t>1.44 (1.30, 1.79)</t>
  </si>
  <si>
    <t>1.32 (1.09, 1.56)</t>
  </si>
  <si>
    <t>1.45 (1.34, 1.68)</t>
  </si>
  <si>
    <t>1.34 (1.10, 1.49)</t>
  </si>
  <si>
    <t>1.10 (1.04, 1.25)</t>
  </si>
  <si>
    <t>1.01 (0.73, 1.13)</t>
  </si>
  <si>
    <t>SDI decile 1-3</t>
  </si>
  <si>
    <t>0.90 (0.77, 1.05)</t>
  </si>
  <si>
    <t>0.86 (0.61, 0.94)</t>
  </si>
  <si>
    <t>0.91 (0.75, 1.05)</t>
  </si>
  <si>
    <t>0.87 (0.62, 0.94)</t>
  </si>
  <si>
    <t>0.91 (0.79, 1.03)</t>
  </si>
  <si>
    <t>0.86 (0.61, 0.95)</t>
  </si>
  <si>
    <t>1.04 (0.89, 1.21)</t>
  </si>
  <si>
    <t>0.97 (0.69, 1.09)</t>
  </si>
  <si>
    <t>1.06 (0.88, 1.21)</t>
  </si>
  <si>
    <t>0.99 (0.71, 1.10)</t>
  </si>
  <si>
    <t>SDI decile 4-6</t>
  </si>
  <si>
    <t>1.09 (0.88, 1.15)</t>
  </si>
  <si>
    <t>0.94 (0.64, 1.06)</t>
  </si>
  <si>
    <t>1.09 (0.89, 1.16)</t>
  </si>
  <si>
    <t>0.96 (0.65, 1.07)</t>
  </si>
  <si>
    <t>1.07 (0.88, 1.15)</t>
  </si>
  <si>
    <t>0.94 (0.64, 1.07)</t>
  </si>
  <si>
    <t>1.13 (0.92, 1.20)</t>
  </si>
  <si>
    <t>0.98 (0.68, 1.10)</t>
  </si>
  <si>
    <t>1.14 (0.95, 1.21)</t>
  </si>
  <si>
    <t>1.00 (0.68, 1.12)</t>
  </si>
  <si>
    <t>SDI decile 7-10</t>
  </si>
  <si>
    <t>1.17 (0.87, 1.27)</t>
  </si>
  <si>
    <t>1.03 (0.78, 1.22)</t>
  </si>
  <si>
    <t>1.18 (0.86, 1.29)</t>
  </si>
  <si>
    <t>1.16 (0.85, 1.28)</t>
  </si>
  <si>
    <t>1.03 (0.76, 1.19)</t>
  </si>
  <si>
    <t>1.07 (0.80, 1.19)</t>
  </si>
  <si>
    <t>0.96 (0.72, 1.11)</t>
  </si>
  <si>
    <t>1.09 (0.79, 1.22)</t>
  </si>
  <si>
    <t>0.97 (0.72, 1.14)</t>
  </si>
  <si>
    <t>Supgroup N for Supplemental Tables S6-S8</t>
  </si>
  <si>
    <t>Subgroup N</t>
  </si>
  <si>
    <t xml:space="preserve">Base or Base +ACR </t>
  </si>
  <si>
    <t xml:space="preserve">Base + HbA1c </t>
  </si>
  <si>
    <t>Base + SDI or  +All</t>
  </si>
  <si>
    <t>N of cohorts</t>
  </si>
  <si>
    <t>Table S7. Calibration slope and interquartile interval for the base model and each model adding novel predictors individually and together for ASCVD</t>
  </si>
  <si>
    <t>Atherosclerotic cardiovascular disease</t>
  </si>
  <si>
    <t>1.03 (0.87, 1.35)</t>
  </si>
  <si>
    <t>1.05 (0.99, 1.24)</t>
  </si>
  <si>
    <t>1.04 (0.86, 1.34)</t>
  </si>
  <si>
    <t>1.05 (0.95, 1.29)</t>
  </si>
  <si>
    <t>1.02 (0.84, 1.26)</t>
  </si>
  <si>
    <t>1.07 (0.91, 1.32)</t>
  </si>
  <si>
    <t>1.07 (0.92, 1.26)</t>
  </si>
  <si>
    <t>1.05 (0.92, 1.29)</t>
  </si>
  <si>
    <t>1.07 (0.95, 1.28)</t>
  </si>
  <si>
    <t>1.07 (0.93, 1.29)</t>
  </si>
  <si>
    <t>1.22 (0.97, 1.65)</t>
  </si>
  <si>
    <t>1.12 (0.96, 1.33)</t>
  </si>
  <si>
    <t>1.22 (0.98, 1.57)</t>
  </si>
  <si>
    <t>1.13 (0.97, 1.32)</t>
  </si>
  <si>
    <t>1.24 (0.96, 1.53)</t>
  </si>
  <si>
    <t>1.11 (0.86, 1.37)</t>
  </si>
  <si>
    <t>1.21 (1.01, 1.37)</t>
  </si>
  <si>
    <t>1.07 (0.87, 1.27)</t>
  </si>
  <si>
    <t>1.22 (1.01, 1.40)</t>
  </si>
  <si>
    <t>1.06 (0.93, 1.29)</t>
  </si>
  <si>
    <t>1.02 (0.91, 1.20)</t>
  </si>
  <si>
    <t>1.05 (0.83, 1.12)</t>
  </si>
  <si>
    <t>1.04 (0.90, 1.29)</t>
  </si>
  <si>
    <t>1.02 (0.84, 1.10)</t>
  </si>
  <si>
    <t>1.04 (0.85, 1.25)</t>
  </si>
  <si>
    <t>1.06 (0.78, 1.13)</t>
  </si>
  <si>
    <t>1.03 (0.88, 1.31)</t>
  </si>
  <si>
    <t>0.90 (0.84, 1.07)</t>
  </si>
  <si>
    <t>0.92 (0.74, 1.09)</t>
  </si>
  <si>
    <t>0.97 (0.81, 1.22)</t>
  </si>
  <si>
    <t>1.07 (0.95, 1.20)</t>
  </si>
  <si>
    <t>0.97 (0.81, 1.26)</t>
  </si>
  <si>
    <t>1.06 (0.94, 1.21)</t>
  </si>
  <si>
    <t>0.98 (0.82, 1.20)</t>
  </si>
  <si>
    <t>1.08 (0.93, 1.29)</t>
  </si>
  <si>
    <t>1.05 (0.95, 1.35)</t>
  </si>
  <si>
    <t>1.07 (0.92, 1.46)</t>
  </si>
  <si>
    <t>1.06 (0.94, 1.32)</t>
  </si>
  <si>
    <t>1.08 (0.91, 1.47)</t>
  </si>
  <si>
    <t>1.04 (0.95, 1.19)</t>
  </si>
  <si>
    <t>1.03 (0.93, 1.20)</t>
  </si>
  <si>
    <t>1.05 (0.92, 1.28)</t>
  </si>
  <si>
    <t>1.00 (0.80, 1.20)</t>
  </si>
  <si>
    <t>1.01 (0.83, 1.18)</t>
  </si>
  <si>
    <t>1.09 (0.93, 1.33)</t>
  </si>
  <si>
    <t>1.10 (0.94, 1.34)</t>
  </si>
  <si>
    <t>1.09 (0.96, 1.41)</t>
  </si>
  <si>
    <t>1.11 (0.96, 1.41)</t>
  </si>
  <si>
    <t>1.05 (0.93, 1.38)</t>
  </si>
  <si>
    <t>1.06 (0.96, 1.24)</t>
  </si>
  <si>
    <t>1.05 (0.93, 1.37)</t>
  </si>
  <si>
    <t>1.05 (0.96, 1.28)</t>
  </si>
  <si>
    <t>1.04 (0.93, 1.33)</t>
  </si>
  <si>
    <t>1.08 (0.91, 1.32)</t>
  </si>
  <si>
    <t>1.08 (0.99, 1.35)</t>
  </si>
  <si>
    <t>1.05 (0.93, 1.32)</t>
  </si>
  <si>
    <t>1.08 (0.99, 1.34)</t>
  </si>
  <si>
    <t>1.07 (0.95, 1.32)</t>
  </si>
  <si>
    <t>1.23 (0.80, 1.54)</t>
  </si>
  <si>
    <t>1.26 (0.93, 1.38)</t>
  </si>
  <si>
    <t>1.23 (0.83, 1.69)</t>
  </si>
  <si>
    <t>1.26 (0.93, 1.35)</t>
  </si>
  <si>
    <t>1.19 (0.80, 1.48)</t>
  </si>
  <si>
    <t>1.24 (0.91, 1.32)</t>
  </si>
  <si>
    <t>0.84 (0.56, 1.26)</t>
  </si>
  <si>
    <t>1.14 (0.69, 1.38)</t>
  </si>
  <si>
    <t>0.82 (0.55, 1.23)</t>
  </si>
  <si>
    <t>1.19 (0.69, 1.43)</t>
  </si>
  <si>
    <t>0.93 (0.80, 1.17)</t>
  </si>
  <si>
    <t>1.11 (0.94, 1.35)</t>
  </si>
  <si>
    <t>0.98 (0.78, 1.16)</t>
  </si>
  <si>
    <t>1.13 (0.90, 1.37)</t>
  </si>
  <si>
    <t>0.89 (0.75, 1.10)</t>
  </si>
  <si>
    <t>1.15 (0.97, 1.30)</t>
  </si>
  <si>
    <t>1.01 (0.66, 1.45)</t>
  </si>
  <si>
    <t>0.88 (0.59, 1.15)</t>
  </si>
  <si>
    <t>0.96 (0.49, 1.47)</t>
  </si>
  <si>
    <t>0.98 (0.75, 1.14)</t>
  </si>
  <si>
    <t>1.10 (0.82, 1.27)</t>
  </si>
  <si>
    <t>0.97 (0.81, 1.35)</t>
  </si>
  <si>
    <t>0.97 (0.80, 1.20)</t>
  </si>
  <si>
    <t>0.97 (0.81, 1.32)</t>
  </si>
  <si>
    <t>1.08 (0.81, 1.25)</t>
  </si>
  <si>
    <t>0.99 (0.81, 1.28)</t>
  </si>
  <si>
    <t>0.66 (0.51, 1.25)</t>
  </si>
  <si>
    <t>0.79 (0.47, 1.77)</t>
  </si>
  <si>
    <t>0.67 (0.50, 1.29)</t>
  </si>
  <si>
    <t>0.85 (0.47, 1.45)</t>
  </si>
  <si>
    <t>0.99 (0.47, 1.23)</t>
  </si>
  <si>
    <t>0.73 (0.42, 0.97)</t>
  </si>
  <si>
    <t>1.01 (0.45, 1.20)</t>
  </si>
  <si>
    <t>0.72 (0.41, 0.97)</t>
  </si>
  <si>
    <t>1.05 (0.47, 1.23)</t>
  </si>
  <si>
    <t>0.72 (0.40, 0.81)</t>
  </si>
  <si>
    <t>0.79 (0.40, 0.96)</t>
  </si>
  <si>
    <t>0.61 (0.42, 1.19)</t>
  </si>
  <si>
    <t>0.85 (0.42, 1.07)</t>
  </si>
  <si>
    <t>0.72 (0.41, 1.16)</t>
  </si>
  <si>
    <t>1.03 (0.84, 1.37)</t>
  </si>
  <si>
    <t>1.06 (0.97, 1.30)</t>
  </si>
  <si>
    <t>1.03 (0.83, 1.35)</t>
  </si>
  <si>
    <t>1.05 (0.96, 1.30)</t>
  </si>
  <si>
    <t>1.06 (0.93, 1.35)</t>
  </si>
  <si>
    <t>1.05 (0.88, 1.23)</t>
  </si>
  <si>
    <t>1.00 (0.90, 1.32)</t>
  </si>
  <si>
    <t>1.04 (0.87, 1.23)</t>
  </si>
  <si>
    <t>1.01 (0.90, 1.32)</t>
  </si>
  <si>
    <t>1.02 (0.85, 1.35)</t>
  </si>
  <si>
    <t>1.01 (0.92, 1.23)</t>
  </si>
  <si>
    <t>1.01 (0.88, 1.34)</t>
  </si>
  <si>
    <t>1.03 (0.91, 1.23)</t>
  </si>
  <si>
    <t>1.03 (0.83, 1.30)</t>
  </si>
  <si>
    <t>1.02 (0.86, 1.34)</t>
  </si>
  <si>
    <t>1.13 (0.79, 1.44)</t>
  </si>
  <si>
    <t>0.99 (0.85, 1.34)</t>
  </si>
  <si>
    <t>1.15 (0.85, 1.38)</t>
  </si>
  <si>
    <t>1.00 (0.84, 1.43)</t>
  </si>
  <si>
    <t>1.06 (0.89, 1.42)</t>
  </si>
  <si>
    <t>1.12 (0.94, 1.27)</t>
  </si>
  <si>
    <t>1.06 (0.86, 1.47)</t>
  </si>
  <si>
    <t>1.11 (0.89, 1.32)</t>
  </si>
  <si>
    <t>1.07 (0.88, 1.39)</t>
  </si>
  <si>
    <t>1.13 (0.89, 1.40)</t>
  </si>
  <si>
    <t>1.01 (0.88, 1.33)</t>
  </si>
  <si>
    <t>1.10 (0.89, 1.35)</t>
  </si>
  <si>
    <t>1.02 (0.89, 1.34)</t>
  </si>
  <si>
    <t>1.12 (0.91, 1.35)</t>
  </si>
  <si>
    <t>1.02 (0.82, 1.26)</t>
  </si>
  <si>
    <t>1.00 (0.95, 1.17)</t>
  </si>
  <si>
    <t>1.02 (0.82, 1.27)</t>
  </si>
  <si>
    <t>0.99 (0.91, 1.15)</t>
  </si>
  <si>
    <t>1.02 (0.78, 1.20)</t>
  </si>
  <si>
    <t>1.00 (0.87, 1.24)</t>
  </si>
  <si>
    <t>1.12 (0.92, 1.30)</t>
  </si>
  <si>
    <t>1.00 (0.77, 1.21)</t>
  </si>
  <si>
    <t>1.12 (0.90, 1.26)</t>
  </si>
  <si>
    <t>1.00 (0.79, 1.17)</t>
  </si>
  <si>
    <t>1.05 (0.91, 1.44)</t>
  </si>
  <si>
    <t>1.10 (0.82, 1.35)</t>
  </si>
  <si>
    <t>1.04 (0.91, 1.43)</t>
  </si>
  <si>
    <t>1.10 (0.81, 1.25)</t>
  </si>
  <si>
    <t>1.03 (0.86, 1.44)</t>
  </si>
  <si>
    <t>1.11 (0.76, 1.39)</t>
  </si>
  <si>
    <t>1.07 (0.82, 1.31)</t>
  </si>
  <si>
    <t>1.10 (0.78, 1.28)</t>
  </si>
  <si>
    <t>1.05 (0.85, 1.36)</t>
  </si>
  <si>
    <t>1.11 (0.76, 1.29)</t>
  </si>
  <si>
    <t>1.02 (0.85, 1.34)</t>
  </si>
  <si>
    <t>1.02 (0.84, 1.33)</t>
  </si>
  <si>
    <t>1.10 (0.97, 1.24)</t>
  </si>
  <si>
    <t>1.03 (0.83, 1.24)</t>
  </si>
  <si>
    <t>1.07 (0.83, 1.32)</t>
  </si>
  <si>
    <t>1.05 (0.86, 1.24)</t>
  </si>
  <si>
    <t>1.06 (0.81, 1.28)</t>
  </si>
  <si>
    <t>1.04 (0.85, 1.26)</t>
  </si>
  <si>
    <t>1.02 (0.90, 1.44)</t>
  </si>
  <si>
    <t>1.06 (0.94, 1.34)</t>
  </si>
  <si>
    <t>0.99 (0.87, 1.47)</t>
  </si>
  <si>
    <t>1.07 (0.95, 1.30)</t>
  </si>
  <si>
    <t>0.99 (0.87, 1.35)</t>
  </si>
  <si>
    <t>1.07 (0.65, 1.35)</t>
  </si>
  <si>
    <t>1.07 (1.03, 1.43)</t>
  </si>
  <si>
    <t>1.13 (1.01, 1.38)</t>
  </si>
  <si>
    <t>1.03 (0.85, 1.24)</t>
  </si>
  <si>
    <t>0.99 (0.82, 1.28)</t>
  </si>
  <si>
    <t>1.05 (0.85, 1.26)</t>
  </si>
  <si>
    <t>1.02 (0.86, 1.33)</t>
  </si>
  <si>
    <t>1.07 (0.88, 1.28)</t>
  </si>
  <si>
    <t>0.99 (0.81, 1.20)</t>
  </si>
  <si>
    <t>1.06 (0.85, 1.27)</t>
  </si>
  <si>
    <t>0.98 (0.87, 1.21)</t>
  </si>
  <si>
    <t>1.03 (0.87, 1.26)</t>
  </si>
  <si>
    <t>1.00 (0.90, 1.24)</t>
  </si>
  <si>
    <t>1.07 (0.89, 1.29)</t>
  </si>
  <si>
    <t>1.19 (1.04, 1.46)</t>
  </si>
  <si>
    <t>1.28 (0.82, 1.42)</t>
  </si>
  <si>
    <t>1.02 (0.88, 1.24)</t>
  </si>
  <si>
    <t>1.07 (0.74, 1.21)</t>
  </si>
  <si>
    <t>1.17 (1.01, 1.44)</t>
  </si>
  <si>
    <t>1.23 (0.68, 1.47)</t>
  </si>
  <si>
    <t>1.36 (1.21, 1.71)</t>
  </si>
  <si>
    <t>1.17 (0.97, 1.35)</t>
  </si>
  <si>
    <t>1.21 (1.05, 1.71)</t>
  </si>
  <si>
    <t>1.02 (0.67, 1.14)</t>
  </si>
  <si>
    <t>1.45 (1.26, 1.95)</t>
  </si>
  <si>
    <t>1.56 (1.39, 1.71)</t>
  </si>
  <si>
    <t>1.04 (0.92, 1.42)</t>
  </si>
  <si>
    <t>1.14 (1.01, 1.34)</t>
  </si>
  <si>
    <t>1.29 (1.15, 1.89)</t>
  </si>
  <si>
    <t>1.51 (1.33, 1.95)</t>
  </si>
  <si>
    <t>1.52 (1.37, 1.78)</t>
  </si>
  <si>
    <t>1.46 (1.19, 1.78)</t>
  </si>
  <si>
    <t>1.06 (0.77, 1.28)</t>
  </si>
  <si>
    <t>1.05 (0.92, 1.17)</t>
  </si>
  <si>
    <t>0.97 (0.82, 1.17)</t>
  </si>
  <si>
    <t>0.96 (0.70, 1.04)</t>
  </si>
  <si>
    <t>0.96 (0.81, 1.16)</t>
  </si>
  <si>
    <t>0.94 (0.69, 1.03)</t>
  </si>
  <si>
    <t>0.97 (0.85, 1.16)</t>
  </si>
  <si>
    <t>0.96 (0.71, 1.07)</t>
  </si>
  <si>
    <t>1.11 (0.93, 1.33)</t>
  </si>
  <si>
    <t>1.08 (0.81, 1.19)</t>
  </si>
  <si>
    <t>1.12 (0.95, 1.33)</t>
  </si>
  <si>
    <t>1.09 (0.80, 1.21)</t>
  </si>
  <si>
    <t>1.10 (0.85, 1.27)</t>
  </si>
  <si>
    <t>0.98 (0.64, 1.14)</t>
  </si>
  <si>
    <t>1.10 (0.86, 1.26)</t>
  </si>
  <si>
    <t>0.99 (0.69, 1.15)</t>
  </si>
  <si>
    <t>1.07 (0.86, 1.28)</t>
  </si>
  <si>
    <t>0.98 (0.69, 1.11)</t>
  </si>
  <si>
    <t>1.15 (0.90, 1.31)</t>
  </si>
  <si>
    <t>1.03 (0.66, 1.20)</t>
  </si>
  <si>
    <t>1.13 (0.91, 1.33)</t>
  </si>
  <si>
    <t>1.04 (0.66, 1.19)</t>
  </si>
  <si>
    <t>1.18 (0.97, 1.47)</t>
  </si>
  <si>
    <t>1.14 (0.93, 1.38)</t>
  </si>
  <si>
    <t>1.18 (0.96, 1.47)</t>
  </si>
  <si>
    <t>1.11 (0.93, 1.36)</t>
  </si>
  <si>
    <t>1.15 (0.97, 1.45)</t>
  </si>
  <si>
    <t>1.03 (0.91, 1.37)</t>
  </si>
  <si>
    <t>1.08 (0.90, 1.32)</t>
  </si>
  <si>
    <t>1.09 (0.90, 1.32)</t>
  </si>
  <si>
    <t>0.95 (0.85, 1.28)</t>
  </si>
  <si>
    <t>Table S8. Calibration slope and interquartile interval for the base model and each model adding novel predictors individually and together for HF</t>
  </si>
  <si>
    <t>1.10 (0.77, 1.15)</t>
  </si>
  <si>
    <t>0.95 (0.51, 1.10)</t>
  </si>
  <si>
    <t>1.10 (0.78, 1.35)</t>
  </si>
  <si>
    <t>0.95 (0.51, 1.12)</t>
  </si>
  <si>
    <t>1.07 (0.79, 1.12)</t>
  </si>
  <si>
    <t>0.96 (0.50, 1.16)</t>
  </si>
  <si>
    <t>1.06 (0.87, 1.18)</t>
  </si>
  <si>
    <t>0.92 (0.60, 1.08)</t>
  </si>
  <si>
    <t>1.08 (0.90, 1.24)</t>
  </si>
  <si>
    <t>0.94 (0.62, 1.11)</t>
  </si>
  <si>
    <t>1.05 (0.89, 1.46)</t>
  </si>
  <si>
    <t>0.88 (0.56, 1.21)</t>
  </si>
  <si>
    <t>1.08 (0.90, 1.45)</t>
  </si>
  <si>
    <t>0.89 (0.57, 1.22)</t>
  </si>
  <si>
    <t>1.07 (0.88, 1.38)</t>
  </si>
  <si>
    <t>0.85 (0.51, 1.19)</t>
  </si>
  <si>
    <t>1.01 (0.85, 1.23)</t>
  </si>
  <si>
    <t>0.77 (0.46, 1.18)</t>
  </si>
  <si>
    <t>1.03 (0.81, 1.28)</t>
  </si>
  <si>
    <t>0.76 (0.49, 1.16)</t>
  </si>
  <si>
    <t>0.93 (0.67, 1.17)</t>
  </si>
  <si>
    <t>0.83 (0.52, 1.01)</t>
  </si>
  <si>
    <t>0.94 (0.73, 1.18)</t>
  </si>
  <si>
    <t>0.84 (0.52, 1.01)</t>
  </si>
  <si>
    <t>0.93 (0.67, 1.13)</t>
  </si>
  <si>
    <t>0.83 (0.50, 0.96)</t>
  </si>
  <si>
    <t>0.91 (0.76, 1.16)</t>
  </si>
  <si>
    <t>0.74 (0.55, 0.92)</t>
  </si>
  <si>
    <t>0.96 (0.84, 1.17)</t>
  </si>
  <si>
    <t>0.76 (0.55, 0.86)</t>
  </si>
  <si>
    <t>1.09 (0.80, 1.20)</t>
  </si>
  <si>
    <t>0.98 (0.60, 1.13)</t>
  </si>
  <si>
    <t>1.08 (0.79, 1.29)</t>
  </si>
  <si>
    <t>0.98 (0.59, 1.15)</t>
  </si>
  <si>
    <t>1.04 (0.82, 1.15)</t>
  </si>
  <si>
    <t>0.96 (0.59, 1.18)</t>
  </si>
  <si>
    <t>1.13 (0.89, 1.34)</t>
  </si>
  <si>
    <t>0.91 (0.64, 1.12)</t>
  </si>
  <si>
    <t>1.15 (0.96, 1.34)</t>
  </si>
  <si>
    <t>0.94 (0.64, 1.15)</t>
  </si>
  <si>
    <t>0.89 (0.49, 1.07)</t>
  </si>
  <si>
    <t>0.89 (0.48, 1.07)</t>
  </si>
  <si>
    <t>0.88 (0.48, 1.08)</t>
  </si>
  <si>
    <t>0.84 (0.61, 1.02)</t>
  </si>
  <si>
    <t>0.81 (0.65, 1.06)</t>
  </si>
  <si>
    <t>1.00 (0.55, 1.15)</t>
  </si>
  <si>
    <t>0.99 (0.53, 1.14)</t>
  </si>
  <si>
    <t>0.99 (0.53, 1.18)</t>
  </si>
  <si>
    <t>0.97 (0.63, 1.14)</t>
  </si>
  <si>
    <t>0.96 (0.62, 1.14)</t>
  </si>
  <si>
    <t>1.09 (0.83, 1.15)</t>
  </si>
  <si>
    <t>0.95 (0.53, 1.14)</t>
  </si>
  <si>
    <t>1.10 (0.83, 1.26)</t>
  </si>
  <si>
    <t>0.97 (0.53, 1.14)</t>
  </si>
  <si>
    <t>1.09 (0.82, 1.12)</t>
  </si>
  <si>
    <t>0.99 (0.53, 1.11)</t>
  </si>
  <si>
    <t>1.09 (0.91, 1.20)</t>
  </si>
  <si>
    <t>0.95 (0.62, 1.10)</t>
  </si>
  <si>
    <t>1.12 (0.94, 1.25)</t>
  </si>
  <si>
    <t>0.95 (0.64, 1.13)</t>
  </si>
  <si>
    <t>1.24 (0.74, 1.39)</t>
  </si>
  <si>
    <t>0.93 (0.58, 1.16)</t>
  </si>
  <si>
    <t>1.27 (0.77, 1.44)</t>
  </si>
  <si>
    <t>0.94 (0.55, 1.21)</t>
  </si>
  <si>
    <t>1.15 (0.69, 1.28)</t>
  </si>
  <si>
    <t>0.88 (0.54, 1.10)</t>
  </si>
  <si>
    <t>1.02 (0.71, 1.17)</t>
  </si>
  <si>
    <t>0.83 (0.67, 1.11)</t>
  </si>
  <si>
    <t>1.02 (0.69, 1.16)</t>
  </si>
  <si>
    <t>0.93 (0.65, 1.12)</t>
  </si>
  <si>
    <t>0.90 (0.70, 1.17)</t>
  </si>
  <si>
    <t>0.99 (0.68, 1.07)</t>
  </si>
  <si>
    <t>0.90 (0.69, 1.06)</t>
  </si>
  <si>
    <t>0.93 (0.73, 1.06)</t>
  </si>
  <si>
    <t>0.87 (0.67, 1.10)</t>
  </si>
  <si>
    <t>0.87 (0.65, 1.05)</t>
  </si>
  <si>
    <t>0.70 (0.50, 0.95)</t>
  </si>
  <si>
    <t>0.68 (0.53, 1.09)</t>
  </si>
  <si>
    <t>0.66 (0.50, 0.86)</t>
  </si>
  <si>
    <t>0.67 (0.52, 0.96)</t>
  </si>
  <si>
    <t>0.83 (0.45, 1.06)</t>
  </si>
  <si>
    <t>0.75 (0.60, 0.87)</t>
  </si>
  <si>
    <t>0.86 (0.41, 1.04)</t>
  </si>
  <si>
    <t>0.75 (0.59, 0.89)</t>
  </si>
  <si>
    <t>0.89 (0.45, 1.04)</t>
  </si>
  <si>
    <t>0.73 (0.59, 0.91)</t>
  </si>
  <si>
    <t>0.50 (0.33, 0.71)</t>
  </si>
  <si>
    <t>0.64 (0.35, 0.79)</t>
  </si>
  <si>
    <t>0.49 (0.32, 0.70)</t>
  </si>
  <si>
    <t>0.64 (0.33, 0.77)</t>
  </si>
  <si>
    <t>0.94 (0.33, 1.01)</t>
  </si>
  <si>
    <t>0.61 (0.35, 0.72)</t>
  </si>
  <si>
    <t>0.91 (0.33, 1.01)</t>
  </si>
  <si>
    <t>0.58 (0.35, 0.73)</t>
  </si>
  <si>
    <t>0.89 (0.32, 1.02)</t>
  </si>
  <si>
    <t>0.48 (0.33, 0.68)</t>
  </si>
  <si>
    <t>0.85 (0.39, 1.16)</t>
  </si>
  <si>
    <t>0.55 (0.27, 0.67)</t>
  </si>
  <si>
    <t>0.82 (0.37, 1.16)</t>
  </si>
  <si>
    <t>0.57 (0.27, 0.71)</t>
  </si>
  <si>
    <t>1.05 (0.76, 1.19)</t>
  </si>
  <si>
    <t>0.93 (0.49, 1.13)</t>
  </si>
  <si>
    <t>1.06 (0.77, 1.20)</t>
  </si>
  <si>
    <t>0.92 (0.49, 1.14)</t>
  </si>
  <si>
    <t>1.06 (0.75, 1.17)</t>
  </si>
  <si>
    <t>0.97 (0.49, 1.16)</t>
  </si>
  <si>
    <t>1.08 (0.76, 1.28)</t>
  </si>
  <si>
    <t>0.98 (0.60, 1.11)</t>
  </si>
  <si>
    <t>1.10 (0.77, 1.29)</t>
  </si>
  <si>
    <t>0.98 (0.61, 1.11)</t>
  </si>
  <si>
    <t>1.03 (0.85, 1.32)</t>
  </si>
  <si>
    <t>0.92 (0.56, 1.07)</t>
  </si>
  <si>
    <t>1.02 (0.83, 1.32)</t>
  </si>
  <si>
    <t>0.94 (0.58, 1.11)</t>
  </si>
  <si>
    <t>1.02 (0.83, 1.20)</t>
  </si>
  <si>
    <t>0.93 (0.56, 1.08)</t>
  </si>
  <si>
    <t>1.04 (0.85, 1.30)</t>
  </si>
  <si>
    <t>0.83 (0.60, 1.03)</t>
  </si>
  <si>
    <t>1.07 (0.88, 1.25)</t>
  </si>
  <si>
    <t>0.85 (0.59, 1.10)</t>
  </si>
  <si>
    <t>1.04 (0.79, 1.17)</t>
  </si>
  <si>
    <t>0.98 (0.53, 1.17)</t>
  </si>
  <si>
    <t>1.05 (0.78, 1.22)</t>
  </si>
  <si>
    <t>0.98 (0.53, 1.19)</t>
  </si>
  <si>
    <t>1.04 (0.75, 1.14)</t>
  </si>
  <si>
    <t>0.99 (0.53, 1.17)</t>
  </si>
  <si>
    <t>1.06 (0.85, 1.23)</t>
  </si>
  <si>
    <t>0.92 (0.61, 1.14)</t>
  </si>
  <si>
    <t>1.10 (0.85, 1.25)</t>
  </si>
  <si>
    <t>0.96 (0.60, 1.17)</t>
  </si>
  <si>
    <t>1.09 (0.85, 1.28)</t>
  </si>
  <si>
    <t>0.95 (0.56, 1.08)</t>
  </si>
  <si>
    <t>1.09 (0.86, 1.34)</t>
  </si>
  <si>
    <t>0.96 (0.57, 1.08)</t>
  </si>
  <si>
    <t>1.06 (0.81, 1.18)</t>
  </si>
  <si>
    <t>0.92 (0.45, 1.07)</t>
  </si>
  <si>
    <t>1.05 (0.88, 1.20)</t>
  </si>
  <si>
    <t>0.91 (0.65, 1.01)</t>
  </si>
  <si>
    <t>1.08 (0.91, 1.23)</t>
  </si>
  <si>
    <t>0.92 (0.66, 1.04)</t>
  </si>
  <si>
    <t>1.00 (0.71, 1.16)</t>
  </si>
  <si>
    <t>0.81 (0.50, 1.05)</t>
  </si>
  <si>
    <t>0.83 (0.51, 1.08)</t>
  </si>
  <si>
    <t>1.00 (0.71, 1.12)</t>
  </si>
  <si>
    <t>0.83 (0.52, 1.06)</t>
  </si>
  <si>
    <t>1.03 (0.79, 1.19)</t>
  </si>
  <si>
    <t>0.88 (0.57, 1.07)</t>
  </si>
  <si>
    <t>1.04 (0.80, 1.31)</t>
  </si>
  <si>
    <t>0.91 (0.64, 1.04)</t>
  </si>
  <si>
    <t>1.06 (0.74, 1.13)</t>
  </si>
  <si>
    <t>0.91 (0.45, 1.06)</t>
  </si>
  <si>
    <t>1.05 (0.73, 1.26)</t>
  </si>
  <si>
    <t>0.90 (0.47, 1.05)</t>
  </si>
  <si>
    <t>1.01 (0.71, 1.09)</t>
  </si>
  <si>
    <t>0.89 (0.44, 1.04)</t>
  </si>
  <si>
    <t>0.97 (0.78, 1.17)</t>
  </si>
  <si>
    <t>0.90 (0.56, 1.03)</t>
  </si>
  <si>
    <t>1.01 (0.80, 1.21)</t>
  </si>
  <si>
    <t>0.90 (0.56, 1.04)</t>
  </si>
  <si>
    <t>1.09 (0.92, 1.38)</t>
  </si>
  <si>
    <t>0.99 (0.69, 1.21)</t>
  </si>
  <si>
    <t>1.12 (0.91, 1.37)</t>
  </si>
  <si>
    <t>1.02 (0.69, 1.25)</t>
  </si>
  <si>
    <t>1.07 (0.91, 1.24)</t>
  </si>
  <si>
    <t>0.99 (0.67, 1.19)</t>
  </si>
  <si>
    <t>1.15 (0.99, 1.27)</t>
  </si>
  <si>
    <t>0.89 (0.70, 1.09)</t>
  </si>
  <si>
    <t>1.16 (1.02, 1.28)</t>
  </si>
  <si>
    <t>0.93 (0.61, 1.08)</t>
  </si>
  <si>
    <t>1.01 (0.73, 1.10)</t>
  </si>
  <si>
    <t>0.87 (0.46, 1.07)</t>
  </si>
  <si>
    <t>1.10 (0.77, 1.20)</t>
  </si>
  <si>
    <t>0.92 (0.58, 1.13)</t>
  </si>
  <si>
    <t>0.99 (0.73, 1.07)</t>
  </si>
  <si>
    <t>0.89 (0.45, 1.06)</t>
  </si>
  <si>
    <t>0.97 (0.75, 1.15)</t>
  </si>
  <si>
    <t>0.87 (0.54, 1.03)</t>
  </si>
  <si>
    <t>1.04 (0.80, 1.20)</t>
  </si>
  <si>
    <t>0.92 (0.58, 1.10)</t>
  </si>
  <si>
    <t>1.26 (0.98, 1.69)</t>
  </si>
  <si>
    <t>1.13 (0.79, 1.43)</t>
  </si>
  <si>
    <t>1.04 (0.82, 1.34)</t>
  </si>
  <si>
    <t>0.89 (0.71, 1.14)</t>
  </si>
  <si>
    <t>1.19 (0.98, 1.44)</t>
  </si>
  <si>
    <t>1.08 (0.84, 1.32)</t>
  </si>
  <si>
    <t>1.31 (1.16, 1.51)</t>
  </si>
  <si>
    <t>0.91 (0.76, 1.14)</t>
  </si>
  <si>
    <t>1.10 (0.90, 1.35)</t>
  </si>
  <si>
    <t>0.89 (0.67, 0.95)</t>
  </si>
  <si>
    <t>1.50 (1.20, 1.84)</t>
  </si>
  <si>
    <t>1.28 (0.99, 1.65)</t>
  </si>
  <si>
    <t>1.06 (0.99, 1.34)</t>
  </si>
  <si>
    <t>0.96 (0.75, 1.16)</t>
  </si>
  <si>
    <t>1.44 (1.26, 1.78)</t>
  </si>
  <si>
    <t>1.23 (0.84, 1.60)</t>
  </si>
  <si>
    <t>1.47 (1.23, 1.85)</t>
  </si>
  <si>
    <t>1.35 (0.98, 1.62)</t>
  </si>
  <si>
    <t>1.04 (0.97, 1.12)</t>
  </si>
  <si>
    <t>0.94 (0.73, 1.05)</t>
  </si>
  <si>
    <t>0.94 (0.76, 1.19)</t>
  </si>
  <si>
    <t>0.73 (0.56, 0.88)</t>
  </si>
  <si>
    <t>0.96 (0.76, 1.19)</t>
  </si>
  <si>
    <t>0.74 (0.55, 0.89)</t>
  </si>
  <si>
    <t>0.94 (0.74, 1.16)</t>
  </si>
  <si>
    <t>0.74 (0.55, 0.85)</t>
  </si>
  <si>
    <t>1.07 (0.87, 1.33)</t>
  </si>
  <si>
    <t>0.85 (0.63, 1.00)</t>
  </si>
  <si>
    <t>1.10 (0.86, 1.33)</t>
  </si>
  <si>
    <t>0.85 (0.64, 1.06)</t>
  </si>
  <si>
    <t>1.11 (0.92, 1.16)</t>
  </si>
  <si>
    <t>0.88 (0.55, 1.07)</t>
  </si>
  <si>
    <t>1.10 (0.91, 1.19)</t>
  </si>
  <si>
    <t>0.89 (0.55, 1.08)</t>
  </si>
  <si>
    <t>1.04 (0.91, 1.12)</t>
  </si>
  <si>
    <t>0.88 (0.53, 1.01)</t>
  </si>
  <si>
    <t>1.14 (0.96, 1.19)</t>
  </si>
  <si>
    <t>0.90 (0.56, 1.09)</t>
  </si>
  <si>
    <t>1.16 (0.96, 1.23)</t>
  </si>
  <si>
    <t>0.94 (0.56, 1.10)</t>
  </si>
  <si>
    <t>1.23 (0.84, 1.35)</t>
  </si>
  <si>
    <t>1.19 (0.87, 1.36)</t>
  </si>
  <si>
    <t>1.06 (0.80, 1.15)</t>
  </si>
  <si>
    <t>1.18 (0.82, 1.29)</t>
  </si>
  <si>
    <t>1.00 (0.78, 1.15)</t>
  </si>
  <si>
    <t>1.07 (0.74, 1.20)</t>
  </si>
  <si>
    <t>0.93 (0.71, 1.04)</t>
  </si>
  <si>
    <t>1.09 (0.76, 1.23)</t>
  </si>
  <si>
    <t>0.93 (0.73, 1.05)</t>
  </si>
  <si>
    <t>Centered at age 55</t>
  </si>
  <si>
    <t>Main effect</t>
  </si>
  <si>
    <t>1.28 (1.22 ,1.35)</t>
  </si>
  <si>
    <t>0.91 (0.76 ,1.08)</t>
  </si>
  <si>
    <t>0.70 (0.55 ,0.88)</t>
  </si>
  <si>
    <t>0.89 (0.77 ,1.02)</t>
  </si>
  <si>
    <t>0.74 (0.63 ,0.86)</t>
  </si>
  <si>
    <t>1.38 (1.31 ,1.44)</t>
  </si>
  <si>
    <t>1.45 (1.36 ,1.54)</t>
  </si>
  <si>
    <t>1.43 (1.36 ,1.49)</t>
  </si>
  <si>
    <t>2.53 (2.35 ,2.73)</t>
  </si>
  <si>
    <t>2.18 (2.05 ,2.31)</t>
  </si>
  <si>
    <t>2.28 (2.15 ,2.42)</t>
  </si>
  <si>
    <t>2.05 (1.88 ,2.24)</t>
  </si>
  <si>
    <t>1.77 (1.51 ,2.08)</t>
  </si>
  <si>
    <t>1.53 (1.36 ,1.73)</t>
  </si>
  <si>
    <t>1.53 (1.35 ,1.73)</t>
  </si>
  <si>
    <t>1.82 (1.70 ,1.96)</t>
  </si>
  <si>
    <t>1.71 (1.62 ,1.79)</t>
  </si>
  <si>
    <t>1.64 (1.54 ,1.75)</t>
  </si>
  <si>
    <t>1.03 (1.00 ,1.07)</t>
  </si>
  <si>
    <t>1.01 (0.98 ,1.04)</t>
  </si>
  <si>
    <t>Meds and treatment effect</t>
  </si>
  <si>
    <t>1.18 (1.07 ,1.30)</t>
  </si>
  <si>
    <t>1.27 (1.13 ,1.44)</t>
  </si>
  <si>
    <t>0.91 (0.88 ,0.95)</t>
  </si>
  <si>
    <t>0.99 (0.93 ,1.05)</t>
  </si>
  <si>
    <t>1.08 (0.99 ,1.17)</t>
  </si>
  <si>
    <t>1.09 (1.02 ,1.16)</t>
  </si>
  <si>
    <t>1.09 (1.03 ,1.15)</t>
  </si>
  <si>
    <t>1.17 (1.11 ,1.25)</t>
  </si>
  <si>
    <t>Age interaction</t>
  </si>
  <si>
    <t>0.93 (0.92 ,0.95)</t>
  </si>
  <si>
    <t>0.82 (0.79 ,0.86)</t>
  </si>
  <si>
    <t>0.94 (0.86 ,1.02)</t>
  </si>
  <si>
    <t>Table S10. Meta-analyzed sex-specific adjusted hazard ratios (95% confidence intervals) for the base model adding all novel predictors for coronary heart disease and stroke outcomes in the OLDW derivation cohorts</t>
  </si>
  <si>
    <t>1.15 (1.09 ,1.21)</t>
  </si>
  <si>
    <t>1.26 (1.19 ,1.33)</t>
  </si>
  <si>
    <t>1.03 (0.98 ,1.08)</t>
  </si>
  <si>
    <t>0.99 (0.95 ,1.04)</t>
  </si>
  <si>
    <t>0.99 (0.81 ,1.21)</t>
  </si>
  <si>
    <t>0.63 (0.50 ,0.81)</t>
  </si>
  <si>
    <t>0.92 (0.78 ,1.09)</t>
  </si>
  <si>
    <t>0.73 (0.62 ,0.86)</t>
  </si>
  <si>
    <t>1.37 (1.32 ,1.42)</t>
  </si>
  <si>
    <t>1.34 (1.28 ,1.40)</t>
  </si>
  <si>
    <t>1.39 (1.31 ,1.47)</t>
  </si>
  <si>
    <t>1.38 (1.32 ,1.46)</t>
  </si>
  <si>
    <t>1.71 (1.53 ,1.91)</t>
  </si>
  <si>
    <t>1.66 (1.54 ,1.79)</t>
  </si>
  <si>
    <t>1.58 (1.41 ,1.77)</t>
  </si>
  <si>
    <t>1.33 (1.18 ,1.51)</t>
  </si>
  <si>
    <t>1.62 (1.41 ,1.87)</t>
  </si>
  <si>
    <t>1.48 (1.29 ,1.69)</t>
  </si>
  <si>
    <t>1.45 (1.28 ,1.64)</t>
  </si>
  <si>
    <t>1.64 (1.51 ,1.78)</t>
  </si>
  <si>
    <t>1.55 (1.47 ,1.65)</t>
  </si>
  <si>
    <t>1.48 (1.37 ,1.59)</t>
  </si>
  <si>
    <t>1.04 (1.00 ,1.08)</t>
  </si>
  <si>
    <t>1.22 (1.07 ,1.40)</t>
  </si>
  <si>
    <t>1.13 (1.01 ,1.26)</t>
  </si>
  <si>
    <t>1.26 (1.08 ,1.46)</t>
  </si>
  <si>
    <t>1.28 (1.12 ,1.46)</t>
  </si>
  <si>
    <t>0.87 (0.80 ,0.94)</t>
  </si>
  <si>
    <t>0.93 (0.89 ,0.96)</t>
  </si>
  <si>
    <t>1.08 (1.01 ,1.16)</t>
  </si>
  <si>
    <t>1.08 (1.01 ,1.14)</t>
  </si>
  <si>
    <t>1.16 (1.08 ,1.25)</t>
  </si>
  <si>
    <t>1.00 (0.98 ,1.01)</t>
  </si>
  <si>
    <t>0.83 (0.79 ,0.87)</t>
  </si>
  <si>
    <t>0.82 (0.78 ,0.86)</t>
  </si>
  <si>
    <t>0.88 (0.85 ,0.92)</t>
  </si>
  <si>
    <t>0.96 (0.88 ,1.05)</t>
  </si>
  <si>
    <t>0.98 (0.95 ,1.01)</t>
  </si>
  <si>
    <t>0.88 (0.86 ,0.91)</t>
  </si>
  <si>
    <t>1.19 (1.09 ,1.29)</t>
  </si>
  <si>
    <t>1.08 (0.97 ,1.21)</t>
  </si>
  <si>
    <t>1.12 (1.01 ,1.24)</t>
  </si>
  <si>
    <t>1.09 (0.96 ,1.25)</t>
  </si>
  <si>
    <t>1.27 (1.16 ,1.38)</t>
  </si>
  <si>
    <t>1.24 (1.11 ,1.40)</t>
  </si>
  <si>
    <t>1.40 (1.24 ,1.58)</t>
  </si>
  <si>
    <t>1.18 (1.11 ,1.25)</t>
  </si>
  <si>
    <t>1.22 (1.10 ,1.35)</t>
  </si>
  <si>
    <t>1.17 (1.14 ,1.20)</t>
  </si>
  <si>
    <t>1.15 (1.13 ,1.18)</t>
  </si>
  <si>
    <t>0.98 (0.93 ,1.03)</t>
  </si>
  <si>
    <t>1.06 (1.00 ,1.13)</t>
  </si>
  <si>
    <t>1.18 (1.11 ,1.27)</t>
  </si>
  <si>
    <t>1.13 (1.06 ,1.20)</t>
  </si>
  <si>
    <t>1.10 (0.99 ,1.21)</t>
  </si>
  <si>
    <t>1.10 (1.01 ,1.19)</t>
  </si>
  <si>
    <t>1.11 (1.09 ,1.13)</t>
  </si>
  <si>
    <t>1.15 (1.13 ,1.17)</t>
  </si>
  <si>
    <t>1.13 (1.11 ,1.16)</t>
  </si>
  <si>
    <t>1.02 (0.95 ,1.10)</t>
  </si>
  <si>
    <t>0.98 (0.91 ,1.06)</t>
  </si>
  <si>
    <t>0.94 (0.87 ,1.01)</t>
  </si>
  <si>
    <t>0.781 (0.758, 0.797)</t>
  </si>
  <si>
    <t>0.730 (0.709, 0.760)</t>
  </si>
  <si>
    <t>0.775 (0.732, 0.789)</t>
  </si>
  <si>
    <t>0.753 (0.734, 0.770)</t>
  </si>
  <si>
    <t>1.07 (0.79, 1.33)</t>
  </si>
  <si>
    <t>1.07 (0.75, 1.25)</t>
  </si>
  <si>
    <t>1.21 (0.70, 1.33)</t>
  </si>
  <si>
    <t>1.05 (0.63, 1.23)</t>
  </si>
  <si>
    <t>0.783 (0.760, 0.800)</t>
  </si>
  <si>
    <t>0.733 (0.712, 0.761)</t>
  </si>
  <si>
    <t>0.776 (0.739, 0.790)</t>
  </si>
  <si>
    <t>0.755 (0.738, 0.772)</t>
  </si>
  <si>
    <t>0.059 (0.024, 0.106)</t>
  </si>
  <si>
    <t>0.079 (0.033, 0.111)</t>
  </si>
  <si>
    <t>0.069 (0.023, 0.106)</t>
  </si>
  <si>
    <t>0.169 (0.141, 0.217)</t>
  </si>
  <si>
    <t>1.07 (0.82, 1.34)</t>
  </si>
  <si>
    <t>1.08 (0.83, 1.26)</t>
  </si>
  <si>
    <t>1.21 (0.58, 1.28)</t>
  </si>
  <si>
    <t>1.03 (0.65, 1.22)</t>
  </si>
  <si>
    <t>0.788 (0.766, 0.798)</t>
  </si>
  <si>
    <t>0.741 (0.712, 0.764)</t>
  </si>
  <si>
    <t>0.775 (0.736, 0.800)</t>
  </si>
  <si>
    <t>0.754 (0.737, 0.770)</t>
  </si>
  <si>
    <t>0.791 (0.770, 0.807)</t>
  </si>
  <si>
    <t>0.743 (0.716, 0.763)</t>
  </si>
  <si>
    <t>0.780 (0.758, 0.801)</t>
  </si>
  <si>
    <t>0.755 (0.740, 0.772)</t>
  </si>
  <si>
    <t>0.005 (0.003, 0.008)</t>
  </si>
  <si>
    <t>0.007 (0.003, 0.011)</t>
  </si>
  <si>
    <t>-0.002 (-0.007, 0.005)</t>
  </si>
  <si>
    <t>0.003 (-0.001, 0.010)</t>
  </si>
  <si>
    <t>0.005 (0.001, 0.020)</t>
  </si>
  <si>
    <t>1.07 (0.72, 1.39)</t>
  </si>
  <si>
    <t>1.18 (0.79, 1.40)</t>
  </si>
  <si>
    <t>1.19 (0.59, 1.35)</t>
  </si>
  <si>
    <t>1.08 (0.62, 1.21)</t>
  </si>
  <si>
    <t>0.793 (0.778, 0.804)</t>
  </si>
  <si>
    <t>0.741 (0.718, 0.773)</t>
  </si>
  <si>
    <t>0.789 (0.760, 0.804)</t>
  </si>
  <si>
    <t>0.767 (0.745, 0.787)</t>
  </si>
  <si>
    <t>0.796 (0.779, 0.804)</t>
  </si>
  <si>
    <t>0.740 (0.721, 0.773)</t>
  </si>
  <si>
    <t>0.792 (0.762, 0.805)</t>
  </si>
  <si>
    <t>0.768 (0.748, 0.787)</t>
  </si>
  <si>
    <t>0.000 (-0.001, 0.002)</t>
  </si>
  <si>
    <t>0.007 (0.001, 0.011)</t>
  </si>
  <si>
    <t>0.005 (-0.002, 0.016)</t>
  </si>
  <si>
    <t>0.003 (-0.000, 0.019)</t>
  </si>
  <si>
    <t>0.005 (0.000, 0.020)</t>
  </si>
  <si>
    <t>1.12 (0.68, 1.41)</t>
  </si>
  <si>
    <t>1.11 (0.73, 1.35)</t>
  </si>
  <si>
    <t>1.16 (0.60, 1.27)</t>
  </si>
  <si>
    <t>1.00 (0.58, 1.11)</t>
  </si>
  <si>
    <t>0.798 (0.780, 0.814)</t>
  </si>
  <si>
    <t>0.744 (0.718, 0.779)</t>
  </si>
  <si>
    <t>0.793 (0.770, 0.807)</t>
  </si>
  <si>
    <t>0.770 (0.752, 0.789)</t>
  </si>
  <si>
    <t>0.007 (-0.002, 0.016)</t>
  </si>
  <si>
    <t>0.007 (0.002, 0.025)</t>
  </si>
  <si>
    <t>0.011 (0.002, 0.023)</t>
  </si>
  <si>
    <t>0.011 (-0.006, 0.023)</t>
  </si>
  <si>
    <t>1.13 (0.69, 1.41)</t>
  </si>
  <si>
    <t>1.11 (0.75, 1.37)</t>
  </si>
  <si>
    <t>1.18 (0.60, 1.28)</t>
  </si>
  <si>
    <t>1.05 (0.58, 1.12)</t>
  </si>
  <si>
    <t>Delta C-statistic is meta-analyzed using the delta within each cohort weighted inversely to its standard error. Therefore, the meta-analyzed mean delta C-statistic may not equal the difference of between the two median C-statistics of the models being compared.</t>
  </si>
  <si>
    <t>Constant</t>
  </si>
  <si>
    <t>R-square</t>
  </si>
  <si>
    <t>beta</t>
  </si>
  <si>
    <t>0.989 (0.860)</t>
  </si>
  <si>
    <t>1.007 (0.909)</t>
  </si>
  <si>
    <t>0.969 (0.680)</t>
  </si>
  <si>
    <t>1.004 (0.960)</t>
  </si>
  <si>
    <t>0.955 (0.641)</t>
  </si>
  <si>
    <t>1.022 (0.816)</t>
  </si>
  <si>
    <t>1.020 (0.854)</t>
  </si>
  <si>
    <t>0.944 (0.593)</t>
  </si>
  <si>
    <t>0.933 (0.204)</t>
  </si>
  <si>
    <t>0.989 (0.836)</t>
  </si>
  <si>
    <t>1.003 (0.955)</t>
  </si>
  <si>
    <t>0.937 (0.345)</t>
  </si>
  <si>
    <t>0.924 (0.371)</t>
  </si>
  <si>
    <t>0.884 (0.170)</t>
  </si>
  <si>
    <t>1.022 (0.769)</t>
  </si>
  <si>
    <t>0.986 (0.878)</t>
  </si>
  <si>
    <t>1.083 (0.749)</t>
  </si>
  <si>
    <t>0.393 (0.000)</t>
  </si>
  <si>
    <t>1.273 (0.360)</t>
  </si>
  <si>
    <t>0.335 (0.000)</t>
  </si>
  <si>
    <t>1.020 (0.950)</t>
  </si>
  <si>
    <t>0.657 (0.160)</t>
  </si>
  <si>
    <t>1.372 (0.327)</t>
  </si>
  <si>
    <t>0.338 (0.004)</t>
  </si>
  <si>
    <t>1.149 (0.671)</t>
  </si>
  <si>
    <t>0.283 (0.026)</t>
  </si>
  <si>
    <t>0.791 (0.003)</t>
  </si>
  <si>
    <t>0.887 (0.105)</t>
  </si>
  <si>
    <t>0.757 (0.001)</t>
  </si>
  <si>
    <t>0.943 (0.509)</t>
  </si>
  <si>
    <t>0.812 (0.052)</t>
  </si>
  <si>
    <t>0.780 (0.015)</t>
  </si>
  <si>
    <t>0.781 (0.014)</t>
  </si>
  <si>
    <t>0.966 (0.766)</t>
  </si>
  <si>
    <t>0.701 (0.007)</t>
  </si>
  <si>
    <t>0.868 (0.252)</t>
  </si>
  <si>
    <t>0.956 (0.704)</t>
  </si>
  <si>
    <t>1.005 (0.969)</t>
  </si>
  <si>
    <t>1.081 (0.648)</t>
  </si>
  <si>
    <t>0.818 (0.170)</t>
  </si>
  <si>
    <t>0.689 (0.020)</t>
  </si>
  <si>
    <t>0.980 (0.913)</t>
  </si>
  <si>
    <t>1.078 (0.735)</t>
  </si>
  <si>
    <t>1.138 (0.466)</t>
  </si>
  <si>
    <t>1.134 (0.570)</t>
  </si>
  <si>
    <t>0.484 (0.001)</t>
  </si>
  <si>
    <t>0.685 (0.034)</t>
  </si>
  <si>
    <t>0.717 (0.031)</t>
  </si>
  <si>
    <t>0.652 (0.046)</t>
  </si>
  <si>
    <t>0.750 (0.068)</t>
  </si>
  <si>
    <t>0.838 (0.452)</t>
  </si>
  <si>
    <t>0.680 (0.083)</t>
  </si>
  <si>
    <t>0.649 (0.086)</t>
  </si>
  <si>
    <t>0.713 (0.080)</t>
  </si>
  <si>
    <t>0.768 (0.283)</t>
  </si>
  <si>
    <t>0.842 (0.467)</t>
  </si>
  <si>
    <t>0.927 (0.377)</t>
  </si>
  <si>
    <t>0.711 (0.000)</t>
  </si>
  <si>
    <t>0.926 (0.567)</t>
  </si>
  <si>
    <t>1.040 (0.840)</t>
  </si>
  <si>
    <t>0.977 (0.872)</t>
  </si>
  <si>
    <t>0.970 (0.858)</t>
  </si>
  <si>
    <t>0.959 (0.797)</t>
  </si>
  <si>
    <t>0.925 (0.724)</t>
  </si>
  <si>
    <t>1.008 (0.959)</t>
  </si>
  <si>
    <t>1.113 (0.648)</t>
  </si>
  <si>
    <t>1.031 (0.878)</t>
  </si>
  <si>
    <t>0.823 (0.423)</t>
  </si>
  <si>
    <t>0.948 (0.808)</t>
  </si>
  <si>
    <t>0.893 (0.761)</t>
  </si>
  <si>
    <t>1.026 (0.552)</t>
  </si>
  <si>
    <t>0.930 (0.073)</t>
  </si>
  <si>
    <t>1.046 (0.333)</t>
  </si>
  <si>
    <t>0.929 (0.067)</t>
  </si>
  <si>
    <t>1.006 (0.931)</t>
  </si>
  <si>
    <t>0.912 (0.152)</t>
  </si>
  <si>
    <t>1.014 (0.812)</t>
  </si>
  <si>
    <t>0.915 (0.067)</t>
  </si>
  <si>
    <t>1.039 (0.563)</t>
  </si>
  <si>
    <t>0.933 (0.283)</t>
  </si>
  <si>
    <t>1.030 (0.810)</t>
  </si>
  <si>
    <t>0.918 (0.450)</t>
  </si>
  <si>
    <t>1.006 (0.960)</t>
  </si>
  <si>
    <t>0.908 (0.393)</t>
  </si>
  <si>
    <t>0.989 (0.947)</t>
  </si>
  <si>
    <t>0.884 (0.437)</t>
  </si>
  <si>
    <t>1.037 (0.801)</t>
  </si>
  <si>
    <t>0.831 (0.124)</t>
  </si>
  <si>
    <t>0.971 (0.847)</t>
  </si>
  <si>
    <t>1.150 (0.376)</t>
  </si>
  <si>
    <t>1.072 (0.530)</t>
  </si>
  <si>
    <t>0.846 (0.110)</t>
  </si>
  <si>
    <t>1.071 (0.600)</t>
  </si>
  <si>
    <t>0.825 (0.130)</t>
  </si>
  <si>
    <t>0.953 (0.771)</t>
  </si>
  <si>
    <t>0.666 (0.006)</t>
  </si>
  <si>
    <t>1.093 (0.609)</t>
  </si>
  <si>
    <t>1.297 (0.205)</t>
  </si>
  <si>
    <t>1.043 (0.504)</t>
  </si>
  <si>
    <t>1.059 (0.335)</t>
  </si>
  <si>
    <t>1.047 (0.514)</t>
  </si>
  <si>
    <t>1.007 (0.930)</t>
  </si>
  <si>
    <t>1.078 (0.362)</t>
  </si>
  <si>
    <t>1.051 (0.532)</t>
  </si>
  <si>
    <t>0.991 (0.908)</t>
  </si>
  <si>
    <t>0.966 (0.670)</t>
  </si>
  <si>
    <t>1.100 (0.341)</t>
  </si>
  <si>
    <t>0.957 (0.687)</t>
  </si>
  <si>
    <t>1.048 (0.673)</t>
  </si>
  <si>
    <t>1.128 (0.298)</t>
  </si>
  <si>
    <t>1.046 (0.725)</t>
  </si>
  <si>
    <t>1.021 (0.872)</t>
  </si>
  <si>
    <t>1.248 (0.242)</t>
  </si>
  <si>
    <t>1.053 (0.729)</t>
  </si>
  <si>
    <t>1.015 (0.944)</t>
  </si>
  <si>
    <t>0.993 (0.875)</t>
  </si>
  <si>
    <t>0.932 (0.100)</t>
  </si>
  <si>
    <t>0.961 (0.456)</t>
  </si>
  <si>
    <t>0.957 (0.386)</t>
  </si>
  <si>
    <t>0.975 (0.705)</t>
  </si>
  <si>
    <t>0.940 (0.321)</t>
  </si>
  <si>
    <t>0.906 (0.188)</t>
  </si>
  <si>
    <t>0.981 (0.820)</t>
  </si>
  <si>
    <t>0.968 (0.345)</t>
  </si>
  <si>
    <t>1.010 (0.813)</t>
  </si>
  <si>
    <t>0.943 (0.150)</t>
  </si>
  <si>
    <t>1.046 (0.379)</t>
  </si>
  <si>
    <t>1.034 (0.555)</t>
  </si>
  <si>
    <t>1.065 (0.367)</t>
  </si>
  <si>
    <t>0.873 (0.012)</t>
  </si>
  <si>
    <t>1.026 (0.720)</t>
  </si>
  <si>
    <t>1.050 (0.272)</t>
  </si>
  <si>
    <t>1.038 (0.406)</t>
  </si>
  <si>
    <t>1.068 (0.217)</t>
  </si>
  <si>
    <t>1.029 (0.591)</t>
  </si>
  <si>
    <t>1.049 (0.422)</t>
  </si>
  <si>
    <t>1.082 (0.234)</t>
  </si>
  <si>
    <t>1.107 (0.119)</t>
  </si>
  <si>
    <t>1.071 (0.332)</t>
  </si>
  <si>
    <t>1.040 (0.594)</t>
  </si>
  <si>
    <t>1.023 (0.768)</t>
  </si>
  <si>
    <t>0.875 (0.191)</t>
  </si>
  <si>
    <t>0.954 (0.628)</t>
  </si>
  <si>
    <t>0.807 (0.100)</t>
  </si>
  <si>
    <t>1.027 (0.814)</t>
  </si>
  <si>
    <t>1.084 (0.529)</t>
  </si>
  <si>
    <t>0.916 (0.523)</t>
  </si>
  <si>
    <t>0.869 (0.371)</t>
  </si>
  <si>
    <t>0.801 (0.091)</t>
  </si>
  <si>
    <t>0.730 (0.077)</t>
  </si>
  <si>
    <t>1.457 (0.017)</t>
  </si>
  <si>
    <t>1.092 (0.407)</t>
  </si>
  <si>
    <t>1.003 (0.977)</t>
  </si>
  <si>
    <t>1.286 (0.066)</t>
  </si>
  <si>
    <t>1.026 (0.826)</t>
  </si>
  <si>
    <t>0.753 (0.064)</t>
  </si>
  <si>
    <t>1.038 (0.786)</t>
  </si>
  <si>
    <t>1.220 (0.289)</t>
  </si>
  <si>
    <t>1.156 (0.336)</t>
  </si>
  <si>
    <t>1.227 (0.282)</t>
  </si>
  <si>
    <t>0.874 (0.467)</t>
  </si>
  <si>
    <t>1.064 (0.524)</t>
  </si>
  <si>
    <t>0.984 (0.901)</t>
  </si>
  <si>
    <t>0.818 (0.083)</t>
  </si>
  <si>
    <t>0.787 (0.034)</t>
  </si>
  <si>
    <t>1.042 (0.757)</t>
  </si>
  <si>
    <t>0.913 (0.544)</t>
  </si>
  <si>
    <t>0.782 (0.124)</t>
  </si>
  <si>
    <t>NA: meta-regression models did not converge</t>
  </si>
  <si>
    <t>0.989 (0.923)</t>
  </si>
  <si>
    <t>0.984 (0.894)</t>
  </si>
  <si>
    <t>0.998 (0.987)</t>
  </si>
  <si>
    <t>0.994 (0.961)</t>
  </si>
  <si>
    <t>1.034 (0.817)</t>
  </si>
  <si>
    <t>1.004 (0.976)</t>
  </si>
  <si>
    <t>0.984 (0.919)</t>
  </si>
  <si>
    <t>0.947 (0.744)</t>
  </si>
  <si>
    <t>1.022 (0.837)</t>
  </si>
  <si>
    <t>1.049 (0.680)</t>
  </si>
  <si>
    <t>1.019 (0.889)</t>
  </si>
  <si>
    <t>0.867 (0.281)</t>
  </si>
  <si>
    <t>1.050 (0.725)</t>
  </si>
  <si>
    <t>0.981 (0.902)</t>
  </si>
  <si>
    <t>0.947 (0.790)</t>
  </si>
  <si>
    <t>0.560 (0.009)</t>
  </si>
  <si>
    <t>1.077 (0.737)</t>
  </si>
  <si>
    <t>0.510 (0.006)</t>
  </si>
  <si>
    <t>0.878 (0.617)</t>
  </si>
  <si>
    <t>0.700 (0.170)</t>
  </si>
  <si>
    <t>1.046 (0.855)</t>
  </si>
  <si>
    <t>0.508 (0.010)</t>
  </si>
  <si>
    <t>1.060 (0.825)</t>
  </si>
  <si>
    <t>0.438 (0.027)</t>
  </si>
  <si>
    <t>0.807 (0.093)</t>
  </si>
  <si>
    <t>0.970 (0.812)</t>
  </si>
  <si>
    <t>0.771 (0.061)</t>
  </si>
  <si>
    <t>0.992 (0.953)</t>
  </si>
  <si>
    <t>0.846 (0.278)</t>
  </si>
  <si>
    <t>0.875 (0.400)</t>
  </si>
  <si>
    <t>0.799 (0.149)</t>
  </si>
  <si>
    <t>1.040 (0.797)</t>
  </si>
  <si>
    <t>0.767 (0.120)</t>
  </si>
  <si>
    <t>0.854 (0.371)</t>
  </si>
  <si>
    <t>1.015 (0.931)</t>
  </si>
  <si>
    <t>1.089 (0.667)</t>
  </si>
  <si>
    <t>0.940 (0.744)</t>
  </si>
  <si>
    <t>0.761 (0.184)</t>
  </si>
  <si>
    <t>0.905 (0.638)</t>
  </si>
  <si>
    <t>1.076 (0.742)</t>
  </si>
  <si>
    <t>1.192 (0.408)</t>
  </si>
  <si>
    <t>1.067 (0.796)</t>
  </si>
  <si>
    <t>0.592 (0.031)</t>
  </si>
  <si>
    <t>0.908 (0.582)</t>
  </si>
  <si>
    <t>0.843 (0.307)</t>
  </si>
  <si>
    <t>0.881 (0.514)</t>
  </si>
  <si>
    <t>0.844 (0.351)</t>
  </si>
  <si>
    <t>0.971 (0.892)</t>
  </si>
  <si>
    <t>0.788 (0.257)</t>
  </si>
  <si>
    <t>0.820 (0.367)</t>
  </si>
  <si>
    <t>0.823 (0.331)</t>
  </si>
  <si>
    <t>1.059 (0.809)</t>
  </si>
  <si>
    <t>1.007 (0.977)</t>
  </si>
  <si>
    <t>0.914 (0.451)</t>
  </si>
  <si>
    <t>0.970 (0.869)</t>
  </si>
  <si>
    <t>0.903 (0.608)</t>
  </si>
  <si>
    <t>0.989 (0.956)</t>
  </si>
  <si>
    <t>1.083 (0.713)</t>
  </si>
  <si>
    <t>0.996 (0.987)</t>
  </si>
  <si>
    <t>1.054 (0.805)</t>
  </si>
  <si>
    <t>0.890 (0.616)</t>
  </si>
  <si>
    <t>1.145 (0.562)</t>
  </si>
  <si>
    <t>0.927 (0.768)</t>
  </si>
  <si>
    <t>1.006 (0.942)</t>
  </si>
  <si>
    <t>0.950 (0.524)</t>
  </si>
  <si>
    <t>1.023 (0.790)</t>
  </si>
  <si>
    <t>0.957 (0.612)</t>
  </si>
  <si>
    <t>0.987 (0.889)</t>
  </si>
  <si>
    <t>0.931 (0.463)</t>
  </si>
  <si>
    <t>1.009 (0.928)</t>
  </si>
  <si>
    <t>0.955 (0.621)</t>
  </si>
  <si>
    <t>1.014 (0.891)</t>
  </si>
  <si>
    <t>0.934 (0.540)</t>
  </si>
  <si>
    <t>1.057 (0.653)</t>
  </si>
  <si>
    <t>0.995 (0.965)</t>
  </si>
  <si>
    <t>1.039 (0.763)</t>
  </si>
  <si>
    <t>0.977 (0.849)</t>
  </si>
  <si>
    <t>1.035 (0.822)</t>
  </si>
  <si>
    <t>0.969 (0.832)</t>
  </si>
  <si>
    <t>1.054 (0.696)</t>
  </si>
  <si>
    <t>0.898 (0.401)</t>
  </si>
  <si>
    <t>1.039 (0.793)</t>
  </si>
  <si>
    <t>1.193 (0.266)</t>
  </si>
  <si>
    <t>1.071 (0.650)</t>
  </si>
  <si>
    <t>0.908 (0.525)</t>
  </si>
  <si>
    <t>1.130 (0.464)</t>
  </si>
  <si>
    <t>0.893 (0.499)</t>
  </si>
  <si>
    <t>1.064 (0.740)</t>
  </si>
  <si>
    <t>0.784 (0.177)</t>
  </si>
  <si>
    <t>1.147 (0.503)</t>
  </si>
  <si>
    <t>1.305 (0.262)</t>
  </si>
  <si>
    <t>1.030 (0.783)</t>
  </si>
  <si>
    <t>1.003 (0.981)</t>
  </si>
  <si>
    <t>1.033 (0.784)</t>
  </si>
  <si>
    <t>0.965 (0.771)</t>
  </si>
  <si>
    <t>1.073 (0.582)</t>
  </si>
  <si>
    <t>0.994 (0.962)</t>
  </si>
  <si>
    <t>0.965 (0.792)</t>
  </si>
  <si>
    <t>1.068 (0.641)</t>
  </si>
  <si>
    <t>0.941 (0.701)</t>
  </si>
  <si>
    <t>1.000 (0.999)</t>
  </si>
  <si>
    <t>1.045 (0.780)</t>
  </si>
  <si>
    <t>0.935 (0.671)</t>
  </si>
  <si>
    <t>1.014 (0.935)</t>
  </si>
  <si>
    <t>1.009 (0.961)</t>
  </si>
  <si>
    <t>1.039 (0.835)</t>
  </si>
  <si>
    <t>1.017 (0.942)</t>
  </si>
  <si>
    <t>0.997 (0.979)</t>
  </si>
  <si>
    <t>0.982 (0.865)</t>
  </si>
  <si>
    <t>0.959 (0.698)</t>
  </si>
  <si>
    <t>0.982 (0.879)</t>
  </si>
  <si>
    <t>0.978 (0.863)</t>
  </si>
  <si>
    <t>0.982 (0.899)</t>
  </si>
  <si>
    <t>0.997 (0.971)</t>
  </si>
  <si>
    <t>0.973 (0.776)</t>
  </si>
  <si>
    <t>0.980 (0.830)</t>
  </si>
  <si>
    <t>1.028 (0.800)</t>
  </si>
  <si>
    <t>1.014 (0.905)</t>
  </si>
  <si>
    <t>0.935 (0.555)</t>
  </si>
  <si>
    <t>0.991 (0.948)</t>
  </si>
  <si>
    <t>1.010 (0.917)</t>
  </si>
  <si>
    <t>1.027 (0.796)</t>
  </si>
  <si>
    <t>1.027 (0.807)</t>
  </si>
  <si>
    <t>1.023 (0.836)</t>
  </si>
  <si>
    <t>1.024 (0.848)</t>
  </si>
  <si>
    <t>1.045 (0.717)</t>
  </si>
  <si>
    <t>1.044 (0.733)</t>
  </si>
  <si>
    <t>0.977 (0.857)</t>
  </si>
  <si>
    <t>1.034 (0.810)</t>
  </si>
  <si>
    <t>0.968 (0.829)</t>
  </si>
  <si>
    <t>0.908 (0.520)</t>
  </si>
  <si>
    <t>0.952 (0.768)</t>
  </si>
  <si>
    <t>0.942 (0.715)</t>
  </si>
  <si>
    <t>1.135 (0.460)</t>
  </si>
  <si>
    <t>0.870 (0.430)</t>
  </si>
  <si>
    <t>0.924 (0.673)</t>
  </si>
  <si>
    <t>0.825 (0.288)</t>
  </si>
  <si>
    <t>0.825 (0.352)</t>
  </si>
  <si>
    <t>1.232 (0.321)</t>
  </si>
  <si>
    <t>1.031 (0.844)</t>
  </si>
  <si>
    <t>0.913 (0.556)</t>
  </si>
  <si>
    <t>1.153 (0.412)</t>
  </si>
  <si>
    <t>0.953 (0.777)</t>
  </si>
  <si>
    <t>0.934 (0.715)</t>
  </si>
  <si>
    <t>1.105 (0.617)</t>
  </si>
  <si>
    <t>1.054 (0.776)</t>
  </si>
  <si>
    <t>1.093 (0.669)</t>
  </si>
  <si>
    <t>0.833 (0.411)</t>
  </si>
  <si>
    <t>0.980 (0.892)</t>
  </si>
  <si>
    <t>1.191 (0.302)</t>
  </si>
  <si>
    <t>0.874 (0.401)</t>
  </si>
  <si>
    <t>0.837 (0.316)</t>
  </si>
  <si>
    <t>0.976 (0.892)</t>
  </si>
  <si>
    <t>0.891 (0.604)</t>
  </si>
  <si>
    <t xml:space="preserve">Cohort Baseline year </t>
  </si>
  <si>
    <t>&lt;2000</t>
  </si>
  <si>
    <t>2000-2009</t>
  </si>
  <si>
    <t>N, participants</t>
  </si>
  <si>
    <t>N, cohorts</t>
  </si>
  <si>
    <t>Age, years, mean (SD)</t>
  </si>
  <si>
    <t>60 (13)</t>
  </si>
  <si>
    <t>61 (10)</t>
  </si>
  <si>
    <t xml:space="preserve">Race and Ethnicity, % </t>
  </si>
  <si>
    <t xml:space="preserve">    White</t>
  </si>
  <si>
    <t xml:space="preserve">    Black</t>
  </si>
  <si>
    <t xml:space="preserve">    Hispanic</t>
  </si>
  <si>
    <t xml:space="preserve">    Asian</t>
  </si>
  <si>
    <t>Cardiovascular Risk Factors/Predictors in PREVENT Base Model</t>
  </si>
  <si>
    <t>SBP, mm Hg</t>
  </si>
  <si>
    <t>126 (19)</t>
  </si>
  <si>
    <t>Total cholesterol, mmol/L</t>
  </si>
  <si>
    <t xml:space="preserve">Non-HDL-C, mmol/L </t>
  </si>
  <si>
    <t>HDL-C, mmol/L</t>
  </si>
  <si>
    <t>Anti-hypertensive treatment, %</t>
  </si>
  <si>
    <t>Statin treatment, %</t>
  </si>
  <si>
    <t>88 (17)</t>
  </si>
  <si>
    <t>84 (19)</t>
  </si>
  <si>
    <t>Add-on Risk Factors/Predictors in Sequential Models</t>
  </si>
  <si>
    <t>4 (3-7)</t>
  </si>
  <si>
    <t>6 (4-11)</t>
  </si>
  <si>
    <t>N/A</t>
  </si>
  <si>
    <t>7.6 (1.8)</t>
  </si>
  <si>
    <t>7.4 (1.8)</t>
  </si>
  <si>
    <t>5.8 (0.6)</t>
  </si>
  <si>
    <t>5.6 (0.8)</t>
  </si>
  <si>
    <t>4 (2-6)</t>
  </si>
  <si>
    <t>Outcomes</t>
  </si>
  <si>
    <t>Mean (SD) follow-up time</t>
  </si>
  <si>
    <t>16.0 (6.6)</t>
  </si>
  <si>
    <t>11.3 (4.7)</t>
  </si>
  <si>
    <t>4.8 (3.0)</t>
  </si>
  <si>
    <t>Total CVD events</t>
  </si>
  <si>
    <t>ASCVD events</t>
  </si>
  <si>
    <t>HF events</t>
  </si>
  <si>
    <t>Deaths</t>
  </si>
  <si>
    <t>Pooled cohort equation (PCE)</t>
  </si>
  <si>
    <t>0.777 (0.764, 0.802)</t>
  </si>
  <si>
    <t>0.735 (0.722, 0.756)</t>
  </si>
  <si>
    <t>0.760 (0.748, 0.781)</t>
  </si>
  <si>
    <t>0.725 (0.708, 0.734)</t>
  </si>
  <si>
    <t>0.802 (0.785, 0.834)</t>
  </si>
  <si>
    <t>0.772 (0.750, 0.786)</t>
  </si>
  <si>
    <t>0.92 (0.70, 1.07)</t>
  </si>
  <si>
    <t>0.74 (0.61, 0.82)</t>
  </si>
  <si>
    <t>0.48 (0.42, 0.57)</t>
  </si>
  <si>
    <t>0.46 (0.41, 0.54)</t>
  </si>
  <si>
    <t>0.57 (0.42, 0.65)</t>
  </si>
  <si>
    <t>0.42 (0.32, 0.52)</t>
  </si>
  <si>
    <t>Delta C-statistic (95% CI), base model vs. PCE</t>
  </si>
  <si>
    <t>0.010 (0.008, 0.012)</t>
  </si>
  <si>
    <t>0.009 (0.007, 0.011)</t>
  </si>
  <si>
    <t>0.008 (0.006, 0.009)</t>
  </si>
  <si>
    <t>0.006 (0.004, 0.007)</t>
  </si>
  <si>
    <t>0.016 (0.014, 0.019)</t>
  </si>
  <si>
    <t>0.024 (0.022, 0.027)</t>
  </si>
  <si>
    <t>0.54 (0.47, 0.61)</t>
  </si>
  <si>
    <t>0.50 (0.39, 0.52)</t>
  </si>
  <si>
    <t>Original PCE</t>
  </si>
  <si>
    <t>0.47 (0.41, 0.57)</t>
  </si>
  <si>
    <t>0.52 (0.43, 0.55)</t>
  </si>
  <si>
    <t>0.77 (0.55, 0.85)</t>
  </si>
  <si>
    <t>0.70 (0.60, 0.84)</t>
  </si>
  <si>
    <t>0.55 (0.47, 0.61)</t>
  </si>
  <si>
    <t>0.53 (0.40, 0.61)</t>
  </si>
  <si>
    <t>0.39 (0.34, 0.49)</t>
  </si>
  <si>
    <t>0.47 (0.37, 0.50)</t>
  </si>
  <si>
    <t>0.48 (0.41, 0.57)</t>
  </si>
  <si>
    <t>0.52 (0.41, 0.54)</t>
  </si>
  <si>
    <t>0.54 (0.35, 0.73)</t>
  </si>
  <si>
    <t>0.56 (0.41, 0.62)</t>
  </si>
  <si>
    <t>0.43 (0.35, 0.56)</t>
  </si>
  <si>
    <t>0.57 (0.47, 0.67)</t>
  </si>
  <si>
    <t>0.46 (0.37, 0.51)</t>
  </si>
  <si>
    <t>0.41 (0.32, 0.59)</t>
  </si>
  <si>
    <t>0.45 (0.23, 0.52)</t>
  </si>
  <si>
    <t>0.33 (0.17, 0.43)</t>
  </si>
  <si>
    <t>0.49 (0.41, 0.57)</t>
  </si>
  <si>
    <t>0.52 (0.44, 0.58)</t>
  </si>
  <si>
    <t>0.40 (0.37, 0.52)</t>
  </si>
  <si>
    <t>0.43 (0.35, 0.49)</t>
  </si>
  <si>
    <t>0.47 (0.41, 0.61)</t>
  </si>
  <si>
    <t>0.53 (0.43, 0.57)</t>
  </si>
  <si>
    <t>0.48 (0.37, 0.54)</t>
  </si>
  <si>
    <t>0.45 (0.43, 0.55)</t>
  </si>
  <si>
    <t>0.54 (0.43, 0.66)</t>
  </si>
  <si>
    <t>0.53 (0.39, 0.64)</t>
  </si>
  <si>
    <t>0.48 (0.40, 0.54)</t>
  </si>
  <si>
    <t>0.51 (0.42, 0.54)</t>
  </si>
  <si>
    <t>0.49 (0.42, 0.63)</t>
  </si>
  <si>
    <t>0.48 (0.43, 0.60)</t>
  </si>
  <si>
    <t>0.46 (0.39, 0.54)</t>
  </si>
  <si>
    <t>0.49 (0.43, 0.60)</t>
  </si>
  <si>
    <t>0.53 (0.41, 0.59)</t>
  </si>
  <si>
    <t>0.69 (0.58, 0.85)</t>
  </si>
  <si>
    <t>0.69 (0.60, 0.89)</t>
  </si>
  <si>
    <t>0.43 (0.35, 0.52)</t>
  </si>
  <si>
    <t>0.43 (0.29, 0.45)</t>
  </si>
  <si>
    <t>0.45 (0.37, 0.53)</t>
  </si>
  <si>
    <t>0.41 (0.27, 0.50)</t>
  </si>
  <si>
    <t>0.50 (0.40, 0.61)</t>
  </si>
  <si>
    <t>0.52 (0.38, 0.57)</t>
  </si>
  <si>
    <t>Median (range)</t>
  </si>
  <si>
    <t>Base + Albuminuria</t>
  </si>
  <si>
    <t>Base + HbA1C</t>
  </si>
  <si>
    <t>Base + SDI</t>
  </si>
  <si>
    <t>Full</t>
  </si>
  <si>
    <t>0.906 (0.659, 0.942)</t>
  </si>
  <si>
    <t>0.897 (0.800, 0.931)</t>
  </si>
  <si>
    <t>0.907 (0.847, 0.935)</t>
  </si>
  <si>
    <t>0.896 (0.794, 0.933)</t>
  </si>
  <si>
    <t>0.882 (0.761, 0.917)</t>
  </si>
  <si>
    <t>0.925 (0.700, 0.948)</t>
  </si>
  <si>
    <t>0.916 (0.820, 0.939)</t>
  </si>
  <si>
    <t>0.917 (0.864, 0.946)</t>
  </si>
  <si>
    <t>0.904 (0.793, 0.936)</t>
  </si>
  <si>
    <t>0.892 (0.766, 0.928)</t>
  </si>
  <si>
    <t>0.820 (0.493, 0.892)</t>
  </si>
  <si>
    <t>0.810 (0.475, 0.877)</t>
  </si>
  <si>
    <t>0.827 (0.732, 0.877)</t>
  </si>
  <si>
    <t>0.806 (0.652, 0.883)</t>
  </si>
  <si>
    <t>0.799 (0.592, 0.850)</t>
  </si>
  <si>
    <t>0.918 (0.674, 0.943)</t>
  </si>
  <si>
    <t>0.907 (0.820, 0.936)</t>
  </si>
  <si>
    <t>0.911 (0.863, 0.941)</t>
  </si>
  <si>
    <t>0.891 (0.779, 0.928)</t>
  </si>
  <si>
    <t>0.880 (0.753, 0.920)</t>
  </si>
  <si>
    <t>0.915 (0.671, 0.941)</t>
  </si>
  <si>
    <t>0.906 (0.784, 0.932)</t>
  </si>
  <si>
    <t>0.904 (0.838, 0.932)</t>
  </si>
  <si>
    <t>0.893 (0.767, 0.929)</t>
  </si>
  <si>
    <t>0.875 (0.738, 0.916)</t>
  </si>
  <si>
    <t>Base Model  (including eGFR)  Evaluated in the Same Population as PCE</t>
  </si>
  <si>
    <t xml:space="preserve">PREVENT base model calibration better than PCE (p&lt;0.001 in both development and validation). p-values from Wilcoxon matched-pairs signed-rank test of the two models compared applied to the absolute value of the log of the slope (since perfect calibration has a slope of 1.0 and log slope of 0). </t>
  </si>
  <si>
    <t>Statistical testing of calibration slope shows PREVENT base model closer to 1.0 than PCE (p&lt;0.02 in all subgroups except in age&lt;55 years where power is limited, and in ACR &gt;300 mg/g).  PREVENT base + albuminuria is better calibrated than the base model at ACR 300+ mg/g with p=0.002 for development and p=0.012 for validation for all CVD).</t>
  </si>
  <si>
    <t>Table S13. Meta-analyzed discrimination and calibration parameters of PCE vs. base model performance for prediction of total cardiovascular disease and cardiovascular disease subtypes in  derivation and validation samples</t>
  </si>
  <si>
    <t>Table S14. Calibration slope and interquartile interval for the base model and each model adding novel predictors individually and together for the Original PCE for ASCVD as the outcome</t>
  </si>
  <si>
    <t>Table S15. Pearson correlation of original PCE with other models in participating cohorts</t>
  </si>
  <si>
    <t>Table S16. Relative HR (p-value) from meta-regression of cohort type, EMR vs. research cohorts</t>
  </si>
  <si>
    <t>Table S13. Meta-analyzed discrimination and calibration parameters of PCE vs. base model performance for prediction of total cardiovascular disease and cardiovascular disease subtypes in derivation and validation samples</t>
  </si>
  <si>
    <t>Table S14. Calibration slopes and interquartile interval for the base model and each model adding novel predictors individually and together for Original PCE for ASCVD as the outcome</t>
  </si>
  <si>
    <t>Table S15. Pearson correlation coefficients of original PCE with PREVENT models in participating cohorts</t>
  </si>
  <si>
    <t>1.07 (1.03 ,1.10)</t>
  </si>
  <si>
    <t>1.11 (1.07 ,1.16)</t>
  </si>
  <si>
    <t>1.17 (1.13 ,1.21)</t>
  </si>
  <si>
    <t>1.18 (1.12 ,1.25)</t>
  </si>
  <si>
    <t>0.85 (0.84 ,0.87)</t>
  </si>
  <si>
    <t>0.97 (0.96 ,0.99)</t>
  </si>
  <si>
    <t>0.74 (0.65 ,0.84)</t>
  </si>
  <si>
    <t>0.59 (0.51 ,0.69)</t>
  </si>
  <si>
    <t>0.88 (0.76 ,1.00)</t>
  </si>
  <si>
    <t>0.69 (0.58 ,0.83)</t>
  </si>
  <si>
    <t>0.57 (0.51 ,0.65)</t>
  </si>
  <si>
    <t>0.45 (0.39 ,0.51)</t>
  </si>
  <si>
    <t>0.86 (0.72 ,1.04)</t>
  </si>
  <si>
    <t>0.66 (0.52 ,0.84)</t>
  </si>
  <si>
    <t>0.85 (0.73 ,0.98)</t>
  </si>
  <si>
    <t>0.70 (0.60 ,0.83)</t>
  </si>
  <si>
    <t>1.47 (1.40 ,1.53)</t>
  </si>
  <si>
    <t>1.46 (1.40 ,1.52)</t>
  </si>
  <si>
    <t>1.41 (1.35 ,1.47)</t>
  </si>
  <si>
    <t>1.49 (1.42 ,1.57)</t>
  </si>
  <si>
    <t>1.51 (1.45 ,1.57)</t>
  </si>
  <si>
    <t>1.46 (1.41 ,1.52)</t>
  </si>
  <si>
    <t>1.47 (1.38 ,1.57)</t>
  </si>
  <si>
    <t>2.48 (2.39 ,2.58)</t>
  </si>
  <si>
    <t>2.42 (2.30 ,2.54)</t>
  </si>
  <si>
    <t>2.15 (2.02 ,2.28)</t>
  </si>
  <si>
    <t>3.05 (2.92 ,3.19)</t>
  </si>
  <si>
    <t>2.71 (2.57 ,2.86)</t>
  </si>
  <si>
    <t>2.61 (2.43 ,2.82)</t>
  </si>
  <si>
    <t>2.23 (2.09 ,2.37)</t>
  </si>
  <si>
    <t>2.36 (2.22 ,2.51)</t>
  </si>
  <si>
    <t>2.11 (1.94 ,2.30)</t>
  </si>
  <si>
    <t>1.75 (1.56 ,1.97)</t>
  </si>
  <si>
    <t>1.58 (1.42 ,1.76)</t>
  </si>
  <si>
    <t>1.68 (1.47 ,1.92)</t>
  </si>
  <si>
    <t>1.53 (1.38 ,1.69)</t>
  </si>
  <si>
    <t>1.86 (1.62 ,2.15)</t>
  </si>
  <si>
    <t>1.70 (1.48 ,1.94)</t>
  </si>
  <si>
    <t>1.58 (1.37 ,1.82)</t>
  </si>
  <si>
    <t>1.52 (1.34 ,1.72)</t>
  </si>
  <si>
    <t>1.33 (1.27 ,1.39)</t>
  </si>
  <si>
    <t>1.44 (1.36 ,1.52)</t>
  </si>
  <si>
    <t>1.42 (1.25 ,1.61)</t>
  </si>
  <si>
    <t>1.37 (1.22 ,1.52)</t>
  </si>
  <si>
    <t>1.30 (1.15 ,1.46)</t>
  </si>
  <si>
    <t>1.25 (1.13 ,1.39)</t>
  </si>
  <si>
    <t>1.49 (1.27 ,1.75)</t>
  </si>
  <si>
    <t>1.40 (1.21 ,1.62)</t>
  </si>
  <si>
    <t>1.27 (1.13 ,1.42)</t>
  </si>
  <si>
    <t>1.21 (1.10 ,1.33)</t>
  </si>
  <si>
    <t>1.32 (1.16 ,1.51)</t>
  </si>
  <si>
    <t>1.29 (1.15 ,1.46)</t>
  </si>
  <si>
    <t>1.00 (0.96 ,1.05)</t>
  </si>
  <si>
    <t>1.13 (1.09 ,1.18)</t>
  </si>
  <si>
    <t>1.10 (1.03 ,1.16)</t>
  </si>
  <si>
    <t>1.09 (1.00 ,1.18)</t>
  </si>
  <si>
    <t>1.18 (1.11 ,1.26)</t>
  </si>
  <si>
    <t>0.94 (0.93 ,0.96)</t>
  </si>
  <si>
    <t>0.99 (0.97 ,1.00)</t>
  </si>
  <si>
    <t>0.91 (0.90 ,0.92)</t>
  </si>
  <si>
    <t>0.81 (0.78 ,0.83)</t>
  </si>
  <si>
    <t>0.80 (0.77 ,0.82)</t>
  </si>
  <si>
    <t>0.74 (0.71 ,0.78)</t>
  </si>
  <si>
    <t>0.79 (0.75 ,0.82)</t>
  </si>
  <si>
    <t>0.82 (0.78 ,0.85)</t>
  </si>
  <si>
    <t>0.91 (0.85 ,0.96)</t>
  </si>
  <si>
    <t>0.90 (0.83 ,0.97)</t>
  </si>
  <si>
    <t>1.02 (0.99 ,1.05)</t>
  </si>
  <si>
    <t>Updated with Meta-analysis</t>
  </si>
  <si>
    <t>p-value</t>
  </si>
  <si>
    <t>1.07 (0.84, 1.28)</t>
  </si>
  <si>
    <t>1.02 (0.80, 1.21)</t>
  </si>
  <si>
    <t>&gt; 0.1</t>
  </si>
  <si>
    <t>1.07 (0.89, 1.28)</t>
  </si>
  <si>
    <t>0.96 (0.79, 1.14)</t>
  </si>
  <si>
    <t>1.08 (0.85, 1.28)</t>
  </si>
  <si>
    <t>1.05 (0.80, 1.17)</t>
  </si>
  <si>
    <t>1.34 (1.04, 1.75)</t>
  </si>
  <si>
    <t>1.29 (0.98, 1.48)</t>
  </si>
  <si>
    <t>eGFR &lt;45</t>
  </si>
  <si>
    <t>1.55 (1.19, 1.99)</t>
  </si>
  <si>
    <t>1.53 (1.03, 1.67)</t>
  </si>
  <si>
    <t>1.11 (0.89, 1.30)</t>
  </si>
  <si>
    <t>1.04 (0.73, 1.22)</t>
  </si>
  <si>
    <t>1.01 (0.87, 1.36)</t>
  </si>
  <si>
    <t>1.09 (0.98, 1.33)</t>
  </si>
  <si>
    <t>1.05 (0.92, 1.41)</t>
  </si>
  <si>
    <t>1.13 (0.94, 1.27)</t>
  </si>
  <si>
    <t>0.99 (0.82, 1.31)</t>
  </si>
  <si>
    <t>1.11 (0.98, 1.38)</t>
  </si>
  <si>
    <t>1.16 (1.09, 1.71)</t>
  </si>
  <si>
    <t>1.30 (1.11, 1.84)</t>
  </si>
  <si>
    <t>1.40 (1.33, 1.83)</t>
  </si>
  <si>
    <t>1.02 (0.90, 1.40)</t>
  </si>
  <si>
    <t>1.08 (0.99, 1.39)</t>
  </si>
  <si>
    <t>&lt; 0.0001</t>
  </si>
  <si>
    <t>1.06 (0.78, 1.14)</t>
  </si>
  <si>
    <t>0.93 (0.48, 1.10)</t>
  </si>
  <si>
    <t>1.01 (0.74, 1.11)</t>
  </si>
  <si>
    <t>0.85 (0.45, 1.04)</t>
  </si>
  <si>
    <t>1.07 (0.77, 1.18)</t>
  </si>
  <si>
    <t>0.96 (0.51, 1.16)</t>
  </si>
  <si>
    <t>1.40 (1.15, 1.71)</t>
  </si>
  <si>
    <t>1.36 (0.89, 1.53)</t>
  </si>
  <si>
    <t>1.82 (1.36, 2.17)</t>
  </si>
  <si>
    <t>1.55 (1.13, 1.85)</t>
  </si>
  <si>
    <t>1.08 (0.84, 1.25)</t>
  </si>
  <si>
    <t>1.03 (0.83, 1.49)</t>
  </si>
  <si>
    <t>1.08 (0.86, 1.36)</t>
  </si>
  <si>
    <t>1.04 (0.86, 1.50)</t>
  </si>
  <si>
    <t>1.11 (0.86, 1.28)</t>
  </si>
  <si>
    <t>1.02 (0.94, 1.44)</t>
  </si>
  <si>
    <t>1.05 (0.83, 1.31)</t>
  </si>
  <si>
    <t>1.04 (0.96, 1.46)</t>
  </si>
  <si>
    <t>1.06 (0.75, 1.25)</t>
  </si>
  <si>
    <t>1.01 (0.78, 1.41)</t>
  </si>
  <si>
    <t>1.10 (0.92, 1.41)</t>
  </si>
  <si>
    <t>1.00 (0.79, 1.39)</t>
  </si>
  <si>
    <t>1.10 (0.90, 1.37)</t>
  </si>
  <si>
    <t>1.35 (1.06, 1.80)</t>
  </si>
  <si>
    <t>1.24 (0.96, 1.86)</t>
  </si>
  <si>
    <t>1.02 (0.86, 1.49)</t>
  </si>
  <si>
    <t>1.03 (0.79, 1.42)</t>
  </si>
  <si>
    <t>1.38 (1.08, 2.07)</t>
  </si>
  <si>
    <t>1.56 (1.14, 2.23)</t>
  </si>
  <si>
    <t>1.01 (0.75, 1.37)</t>
  </si>
  <si>
    <t>1.11 (0.83, 1.41)</t>
  </si>
  <si>
    <t>1.00 (0.89, 1.20)</t>
  </si>
  <si>
    <t>1.12 (0.80, 1.26)</t>
  </si>
  <si>
    <t>1.02 (0.89, 1.23)</t>
  </si>
  <si>
    <t>1.14 (0.65, 1.27)</t>
  </si>
  <si>
    <t>0.98 (0.89, 1.24)</t>
  </si>
  <si>
    <t>1.05 (0.79, 1.21)</t>
  </si>
  <si>
    <t>1.07 (0.64, 1.23)</t>
  </si>
  <si>
    <t>1.02 (0.91, 1.12)</t>
  </si>
  <si>
    <t>1.19 (0.91, 1.31)</t>
  </si>
  <si>
    <t>1.05 (0.91, 1.13)</t>
  </si>
  <si>
    <t>1.19 (0.61, 1.26)</t>
  </si>
  <si>
    <t>1.25 (1.12, 1.64)</t>
  </si>
  <si>
    <t>1.29 (0.75, 1.50)</t>
  </si>
  <si>
    <t>1.09 (0.96, 1.42)</t>
  </si>
  <si>
    <t>1.13 (0.61, 1.27)</t>
  </si>
  <si>
    <t>1.34 (1.15, 1.85)</t>
  </si>
  <si>
    <t>1.46 (0.77, 1.62)</t>
  </si>
  <si>
    <t>1.07 (0.92, 1.40)</t>
  </si>
  <si>
    <t>1.12 (0.70, 1.25)</t>
  </si>
  <si>
    <r>
      <t xml:space="preserve">Table S2B. Meta-analyzed sex-specific adjusted hazard ratios (95% confidence intervals) for the base model adding UACR for total CVD and CVD subtypes in </t>
    </r>
    <r>
      <rPr>
        <b/>
        <sz val="11"/>
        <rFont val="Calibri"/>
        <family val="2"/>
        <scheme val="minor"/>
      </rPr>
      <t>derivation samples</t>
    </r>
  </si>
  <si>
    <t>Table S2A. Meta-analyzed sex-specific adjusted hazard ratios (95% confidence intervals) for the base model removing eGFR for total CVD and CVD subtypes in derivation samples</t>
  </si>
  <si>
    <t>Table S2B. Meta-analyzed sex-specific adjusted hazard ratios (95% confidence intervals) for the base model adding UACR for total CVD and CVD subtypes in derivation samples</t>
  </si>
  <si>
    <t>Base without eGFR</t>
  </si>
  <si>
    <t>0.001 (-0.006, 0.004)</t>
  </si>
  <si>
    <t>0.006 (-0.001, 0.009)</t>
  </si>
  <si>
    <t>0.004 (0.002, 0.008)</t>
  </si>
  <si>
    <t>0.007 (0.002, 0.012)</t>
  </si>
  <si>
    <t>0.008 (0.005, 0.014)</t>
  </si>
  <si>
    <t>0.013 (0.009, 0.015)</t>
  </si>
  <si>
    <t>0.004 (0.000, 0.007)</t>
  </si>
  <si>
    <t>0.007 (0.003, 0.012)</t>
  </si>
  <si>
    <t>0.005 (0.002, 0.006)</t>
  </si>
  <si>
    <t>0.003 (0.002, 0.003)</t>
  </si>
  <si>
    <t>0.809 (0.777, 0.827)</t>
  </si>
  <si>
    <t>0.830 (0.816, 0.850)</t>
  </si>
  <si>
    <t>0.736 (0.710, 0.755)</t>
  </si>
  <si>
    <t>0.774 (0.743, 0.788)</t>
  </si>
  <si>
    <t>0.757 (0.727, 0.778)</t>
  </si>
  <si>
    <t>0.794 (0.763, 0.809)</t>
  </si>
  <si>
    <t>0.749 (0.727, 0.762)</t>
  </si>
  <si>
    <t>0.771 (0.730, 0.787)</t>
  </si>
  <si>
    <t>0.727 (0.705, 0.757)</t>
  </si>
  <si>
    <t>0.781 (0.751, 0.791)</t>
  </si>
  <si>
    <t>0.804 (0.775, 0.820)</t>
  </si>
  <si>
    <t>0.820 (0.806, 0.841)</t>
  </si>
  <si>
    <t>0.733 (0.703, 0.752)</t>
  </si>
  <si>
    <t>0.770 (0.735, 0.785)</t>
  </si>
  <si>
    <t>0.750 (0.723, 0.772)</t>
  </si>
  <si>
    <t>0.790 (0.755, 0.804)</t>
  </si>
  <si>
    <t>Base without eGFR model</t>
  </si>
  <si>
    <t>In validation samples</t>
  </si>
  <si>
    <t>0.004 (-0.001, 0.008)</t>
  </si>
  <si>
    <t>0.002 (-0.002, 0.006)</t>
  </si>
  <si>
    <t>0.001 (-0.002, 0.006)</t>
  </si>
  <si>
    <t>0.006 (0.003, 0.010)</t>
  </si>
  <si>
    <t>0.008 (0.004, 0.012)</t>
  </si>
  <si>
    <t>0.003 (-0.002, 0.005)</t>
  </si>
  <si>
    <t>0.004 (0.001, 0.007)</t>
  </si>
  <si>
    <t>0.003 (0.001, 0.006)</t>
  </si>
  <si>
    <t>0.007 (0.006, 0.008)</t>
  </si>
  <si>
    <t>0.773 (0.759, 0.786)</t>
  </si>
  <si>
    <t>0.774 (0.753, 0.800)</t>
  </si>
  <si>
    <t>0.811 (0.801, 0.841)</t>
  </si>
  <si>
    <t>0.746 (0.729, 0.758)</t>
  </si>
  <si>
    <t>0.770 (0.752, 0.784)</t>
  </si>
  <si>
    <t>0.723 (0.717, 0.733)</t>
  </si>
  <si>
    <t>0.768 (0.750, 0.796)</t>
  </si>
  <si>
    <t>0.785 (0.768, 0.800)</t>
  </si>
  <si>
    <t>0.807 (0.793, 0.833)</t>
  </si>
  <si>
    <t>0.727 (0.715, 0.739)</t>
  </si>
  <si>
    <t>0.766 (0.753, 0.783)</t>
  </si>
  <si>
    <t>0.743 (0.730, 0.759)</t>
  </si>
  <si>
    <t>0.781 (0.771, 0.804)</t>
  </si>
  <si>
    <t>In derivationvalidation samples</t>
  </si>
  <si>
    <t>Table S5D. Meta-analyzed calibration slope and interquartile interval for the base model with and without eGFR</t>
  </si>
  <si>
    <t>Table S5C. Meta-analyzed discrimination, calibration, and net reclassification parameters of model performance for prediction of total cardiovascular disease and cardiovascular disease subtypes when removing eGFR from the base model</t>
  </si>
  <si>
    <t xml:space="preserve">Table S5C. Meta-analyzed discrimination, calibration, and net reclassification parameters of model performance for prediction of total cardiovascular disease and cardiovascular disease subtypes when removing eGFR from the base model </t>
  </si>
  <si>
    <t>Table S17A. Relative HR (p-value) from meta-regression of median baseline year</t>
  </si>
  <si>
    <t>Table S17B. Baseline characteristics and number of outcomes across three epochs in the study population</t>
  </si>
  <si>
    <t xml:space="preserve">Table S17A. Relative HR (p-value) from meta-regression of median baseline year </t>
  </si>
  <si>
    <t>Table S17B. Baseline characteristics and number of outcomes by median baseline year of each study</t>
  </si>
  <si>
    <r>
      <t>eGFR, mean (SD), mL/min/1.73 m</t>
    </r>
    <r>
      <rPr>
        <vertAlign val="superscript"/>
        <sz val="11"/>
        <color rgb="FF000000"/>
        <rFont val="Calibri"/>
        <family val="2"/>
        <scheme val="minor"/>
      </rPr>
      <t>2</t>
    </r>
  </si>
  <si>
    <r>
      <t>HbA1c Diabetes Present, mean (SD), %</t>
    </r>
    <r>
      <rPr>
        <sz val="11"/>
        <color theme="1"/>
        <rFont val="Calibri"/>
        <family val="2"/>
        <scheme val="minor"/>
      </rPr>
      <t> </t>
    </r>
  </si>
  <si>
    <r>
      <t>HbA1c Diabetes Absent, mean (SD), %</t>
    </r>
    <r>
      <rPr>
        <sz val="11"/>
        <color theme="1"/>
        <rFont val="Calibri"/>
        <family val="2"/>
        <scheme val="minor"/>
      </rPr>
      <t> </t>
    </r>
  </si>
  <si>
    <t>Age per 10yr * HDL-C per 0.3 mml/L</t>
  </si>
  <si>
    <t>Age per 10 years squared</t>
  </si>
  <si>
    <t>Age per 10 years</t>
  </si>
  <si>
    <t>Allowable range</t>
  </si>
  <si>
    <t>30-79 years</t>
  </si>
  <si>
    <t>130 to 320 mg/dl</t>
  </si>
  <si>
    <t>20 to 100 mg/dl</t>
  </si>
  <si>
    <t>90 to 200 mmHg</t>
  </si>
  <si>
    <t>Diabetes, yes=1 no=0</t>
  </si>
  <si>
    <t>0 or 1</t>
  </si>
  <si>
    <t>Statin use, yes=1 no=0</t>
  </si>
  <si>
    <t>(min(SBP, 110) – 110) /20</t>
  </si>
  <si>
    <t>(max(SBP, 110) – 130) /20</t>
  </si>
  <si>
    <t>(min(BMI, 30) – 25) /5</t>
  </si>
  <si>
    <t>(max(BMI, 30) – 30) /5</t>
  </si>
  <si>
    <t>(min(eGFR, 60) – 60) / -15</t>
  </si>
  <si>
    <t>(max(eGFR, 60)  – 90) / -15</t>
  </si>
  <si>
    <t>(age-55)/10 × (max(SBP, 110) – 130) /20</t>
  </si>
  <si>
    <t>NA (calculated from the inputs above)</t>
  </si>
  <si>
    <t xml:space="preserve">log-Odds </t>
  </si>
  <si>
    <t>Risk</t>
  </si>
  <si>
    <t>0.1 to 25000 mg/g</t>
  </si>
  <si>
    <t>3 - 15 %</t>
  </si>
  <si>
    <t>(HbA1c - 5.3 )  × diabetes</t>
  </si>
  <si>
    <t>(HbA1c - 5.3 )  × (1 - diabetes)</t>
  </si>
  <si>
    <t>1-10</t>
  </si>
  <si>
    <t>IF(SDI decile between 4 and 6)</t>
  </si>
  <si>
    <t>IF(SDI decile between 7 and 10)</t>
  </si>
  <si>
    <t>Input Values</t>
  </si>
  <si>
    <t>Input variables</t>
  </si>
  <si>
    <t>Derived values</t>
  </si>
  <si>
    <t>Table S12.A. Example calculation for 10 year cardiovascular risk simplified models - PREVENT Base model</t>
  </si>
  <si>
    <t xml:space="preserve">Output: Estimated 10-year Risk </t>
  </si>
  <si>
    <t>Age, years</t>
  </si>
  <si>
    <t xml:space="preserve">Total cholesterol (TC), mg/dl </t>
  </si>
  <si>
    <t>High-density lipoprotein cholesterol (HDL-C), mg/dl</t>
  </si>
  <si>
    <t>Systolic blood pressure (SBP), mmHg</t>
  </si>
  <si>
    <t>Current smoking (Cursmk), yes=1 no=0</t>
  </si>
  <si>
    <r>
      <t>Body-mass index (BMI), kg/m</t>
    </r>
    <r>
      <rPr>
        <vertAlign val="superscript"/>
        <sz val="11"/>
        <rFont val="Calibri"/>
        <family val="2"/>
        <scheme val="minor"/>
      </rPr>
      <t>2</t>
    </r>
  </si>
  <si>
    <r>
      <t>18.5 to &lt;40 kg/m</t>
    </r>
    <r>
      <rPr>
        <vertAlign val="superscript"/>
        <sz val="11"/>
        <rFont val="Calibri"/>
        <family val="2"/>
        <scheme val="minor"/>
      </rPr>
      <t>2</t>
    </r>
  </si>
  <si>
    <r>
      <t>Estimated GFR (eGFR), ml/min/1.73m</t>
    </r>
    <r>
      <rPr>
        <vertAlign val="superscript"/>
        <sz val="11"/>
        <rFont val="Calibri"/>
        <family val="2"/>
        <scheme val="minor"/>
      </rPr>
      <t>2</t>
    </r>
  </si>
  <si>
    <r>
      <t>15 to 150 ml/min/1.73m</t>
    </r>
    <r>
      <rPr>
        <vertAlign val="superscript"/>
        <sz val="11"/>
        <rFont val="Calibri"/>
        <family val="2"/>
        <scheme val="minor"/>
      </rPr>
      <t>2</t>
    </r>
  </si>
  <si>
    <t>Anti-hypertension medication use (Antihtn), yes=1 no=0</t>
  </si>
  <si>
    <t>Table. Intermediate calculations for simplified PREVENT equations: Derived variables (include centering, scaling, splines and interactions) multiplied by the respective beta coefficients then added to calculate the risk</t>
  </si>
  <si>
    <t>(Age-55)/10</t>
  </si>
  <si>
    <t>(TC – HDL-C) × 0.02586 (to convert to mmol/L) – 3.5</t>
  </si>
  <si>
    <t xml:space="preserve">(HDL-C × 0.02586 (to convert to mmol/L)  – 1.3) /0.3 </t>
  </si>
  <si>
    <t>Cursmk</t>
  </si>
  <si>
    <t>Antihtn</t>
  </si>
  <si>
    <t>Statin</t>
  </si>
  <si>
    <r>
      <t xml:space="preserve">(max(SBP, 110) – 130) /20 </t>
    </r>
    <r>
      <rPr>
        <sz val="11"/>
        <rFont val="Calibri"/>
        <family val="2"/>
      </rPr>
      <t>×</t>
    </r>
    <r>
      <rPr>
        <sz val="11"/>
        <rFont val="Calibri"/>
        <family val="2"/>
        <scheme val="minor"/>
      </rPr>
      <t xml:space="preserve"> Antihtn</t>
    </r>
  </si>
  <si>
    <t>((TC – HDL-C) × 0.02586 – 3.5) × Statin</t>
  </si>
  <si>
    <t xml:space="preserve">(age-55)/10 × ((TC – HDL-C) × 0.02586 – 3.5) </t>
  </si>
  <si>
    <t xml:space="preserve">(age-55)/10 × (HDL-C × 0.02586 – 1.3) /0.3 </t>
  </si>
  <si>
    <t>(Age-55)/10 × Diabetes</t>
  </si>
  <si>
    <t>(Age-55)/10 × Cursmk</t>
  </si>
  <si>
    <t>(Age-55)/10 × (max(BMI, 30) – 30) /5</t>
  </si>
  <si>
    <t>(Age-55)/10 × (min(eGFR, 60) – 60) / -15</t>
  </si>
  <si>
    <t>Table. Beta coefficients for simplified PREVENT Equations (regression of log-odds of the risk from the full PREVENT model on risk factors) and goodness of fit statistics (R-square)</t>
  </si>
  <si>
    <t>Risk Factors</t>
  </si>
  <si>
    <t>*Beta coefficients can be interpreted as log odds ratios.  The dependent variable is the log-odds of the risk (log of risk /(1-risk)). Continous variables were centered at age 55, non-HDL-C 3.5, HDL-C 1.3, SBP 130, BMI 25, eGFR 90, ACR 1. Categorical variables used a value of 0 for no DM,  non-smoker, and no medication as the reference group. Therefore, the constant (intercept) applies to an individual with all of the values listed in this footnote. Appendix 4 provides the details of the computation, including the algebra for creating piece-wise linear splines (SBP, BMI, and eGFR).  Cholesterol (TC, HDL and calculated non-HDL-C) is converted to mmol/L from mg/dl by multiplying by 0.02586.  eGFR is calculated from serum creatinine using the CKD-EPI race free equation.</t>
  </si>
  <si>
    <t>R-square of the simplified risk equation regression</t>
  </si>
  <si>
    <t>Table S12.B. Example calculation for 10 year cardiovascular risk simplified models - PREVENT Enhanced for UACR</t>
  </si>
  <si>
    <t>Urine albumin-creatinine ratio (UACR), mg/g</t>
  </si>
  <si>
    <t>ln(UACR)</t>
  </si>
  <si>
    <t>ln-UACR, mg/g, per 1 ln unit</t>
  </si>
  <si>
    <t>Missing UACR/PCR/Dipstick</t>
  </si>
  <si>
    <t>Table S12.C. Example calculation for 10 year cardiovascular risk simplified models - PREVENT Enhanced for HbA1c</t>
  </si>
  <si>
    <t>Hemoglobin A1c (HbA1c), %</t>
  </si>
  <si>
    <t>Table S12.D. Example calculation for 10 year cardiovascular risk simplified models - PREVENT Enhanced for SDI</t>
  </si>
  <si>
    <t>Social Deprivation Index (SDI), decile</t>
  </si>
  <si>
    <t>Table S12.E. Example calculation for 10 year cardiovascular risk simplified models - PREVENT Enhanced for all novel variables</t>
  </si>
  <si>
    <t>Table S12.F. Example calculation for 30 year cardiovascular risk simplified models - PREVENT Base model</t>
  </si>
  <si>
    <t xml:space="preserve">Output: Estimated 30-year Risk </t>
  </si>
  <si>
    <t>((Age-55)/10)^2</t>
  </si>
  <si>
    <t>Table S12.G. Example calculation for 30 year cardiovascular risk simplified models - PREVENT Enhanced for UACR</t>
  </si>
  <si>
    <t>Table S12.H. Example calculation for 30 year cardiovascular risk simplified models - PREVENT Enhanced for HbA1c</t>
  </si>
  <si>
    <t>Table S12.I. Example calculation for 30 year cardiovascular risk simplified models - PREVENT Enhanced for SDI</t>
  </si>
  <si>
    <t>Table S12.J. Example calculation for 30 year cardiovascular risk simplified models - PREVENT Enhanced for all novel variables</t>
  </si>
  <si>
    <t>Table S12.A-J Example calculations and Regression coefficients for 10 year (A-E) and 30 year (F-J) cardiovascular risks models - PREVENT base model (A,F); Enhanced for ACR (B,G); Enhanced for HbA1c (C,H); Enhanced for SDI (D,I); Enhanced for all novel variables (E,J)</t>
  </si>
  <si>
    <t xml:space="preserve">Note: Total CVD and ASCVD risks are less than the sum of their components since some individuals will develop more than one event. </t>
  </si>
  <si>
    <t>Centered at age 55, non-HDLC 3.5, HDLC 1.3, SBP 130, BMI 25, eGFR 90, no DM,  non-smoker, no medication used, SDI decile 1-3, ACR 1, HbA1c 5.3</t>
  </si>
  <si>
    <t>Centered at age 55, non-HDLC 3.5, HDLC 1.3, SBP 130, BMI 25, eGFR 90, no DM,  non-smoker, no medication used, ACR 1</t>
  </si>
  <si>
    <t xml:space="preserve">    Other/Missing</t>
  </si>
  <si>
    <r>
      <t>BMI, kg/m</t>
    </r>
    <r>
      <rPr>
        <vertAlign val="superscript"/>
        <sz val="11"/>
        <color rgb="FF000000"/>
        <rFont val="Calibri"/>
        <family val="2"/>
        <scheme val="minor"/>
      </rPr>
      <t>2</t>
    </r>
  </si>
  <si>
    <t>UACR, median (IQI), mg/g*</t>
  </si>
  <si>
    <t>*UACR was nonmissing when urine protein to creatinine ratio or dipstick allows for conversion to UACR</t>
  </si>
  <si>
    <t>SDI decile, median (IQI)**</t>
  </si>
  <si>
    <t>**SDI was only available in the Optum Labs Data Warehouse cohorts</t>
  </si>
  <si>
    <t>Input variables and intermediate derived variables formula</t>
  </si>
  <si>
    <t xml:space="preserve">Simplified equation calibration check using linear regression of base PREVENT model (Y) on this enhanced model (X) when the enhanced risk prediction variables are missing </t>
  </si>
  <si>
    <t xml:space="preserve">*Beta coefficients can be interpreted as log odds ratios.  The dependent variable is the log-odds of the risk (log of risk /(1-risk)). Continous variables were centered at age 55, non-HDL-C 3.5, HDL-C 1.3, SBP 130, BMI 25, eGFR 90, ACR 1. Categorical variables used a value of 0 for no DM,  non-smoker, and no medication as the reference group. Therefore, the constant (intercept) applies to an individual with all of the values listed in this footnote. Appendix 4 provides the details of the computation, including the algebra for creating piece-wise linear splines (SBP, BMI, and eGFR).  Cholesterol (TC, HDL and calculated non-HDL-C) is converted to mmol/L from mg/dl by multiplying by 0.02586.  eGFR is calculated from serum creatinine using the CKD-EPI race free equation. The regression allows for missing values in ACR, HbA1C, or SDI while the excel calculation above is limited to non-missing data. </t>
  </si>
  <si>
    <t>*Beta coefficients can be interpreted as log odds ratios.  The dependent variable is the log-odds of the risk (log of risk /(1-risk)). Continous variables were centered at age 55, non-HDL-C 3.5, HDL-C 1.3, SBP 130, BMI 25, eGFR 90, ACR 1. Categorical variables used a value of 0 for no DM,  non-smoker, and no medication as the reference group. Therefore, the constant (intercept) applies to an individual with all of the values listed in this footnote. Appendix 4 provides the details of the computation, including the algebra for creating piece-wise linear splines (SBP, BMI, and eGFR).  Cholesterol (TC, HDL and calculated non-HDL-C) is converted to mmol/L from mg/dl by multiplying by 0.02586.  eGFR is calculated from serum creatinine using the CKD-EPI race free equation. The regression allows for missing values in ACR, HbA1C, or SDI while the excel calculation above is limited to non-missing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</si>
</sst>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00%"/>
    <numFmt numFmtId="167" formatCode="0.00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8"/>
      <name val="Calibri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8"/>
      <color theme="1"/>
      <name val="Times New Roman"/>
      <family val="1"/>
    </font>
    <font>
      <b/>
      <sz val="9"/>
      <color theme="1"/>
      <name val="Arial"/>
      <family val="2"/>
    </font>
    <font>
      <b/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vertAlign val="superscript"/>
      <sz val="11"/>
      <color rgb="FF000000"/>
      <name val="Calibri"/>
      <family val="2"/>
      <scheme val="minor"/>
    </font>
    <font>
      <vertAlign val="superscript"/>
      <sz val="11"/>
      <name val="Calibri"/>
      <family val="2"/>
      <scheme val="minor"/>
    </font>
    <font>
      <sz val="11"/>
      <name val="Calibri"/>
      <family val="2"/>
    </font>
    <font>
      <b/>
      <sz val="10"/>
      <name val="Times New Roman"/>
      <family val="1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8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9" fontId="0" fillId="0" borderId="0" xfId="2" applyFont="1" applyFill="1" applyAlignment="1">
      <alignment horizontal="left"/>
    </xf>
    <xf numFmtId="165" fontId="0" fillId="0" borderId="0" xfId="2" applyNumberFormat="1" applyFont="1" applyFill="1" applyAlignment="1">
      <alignment horizontal="left"/>
    </xf>
    <xf numFmtId="9" fontId="0" fillId="0" borderId="0" xfId="2" applyFont="1"/>
    <xf numFmtId="166" fontId="0" fillId="0" borderId="0" xfId="2" applyNumberFormat="1" applyFont="1" applyFill="1" applyAlignment="1">
      <alignment horizontal="left"/>
    </xf>
    <xf numFmtId="10" fontId="0" fillId="0" borderId="0" xfId="2" applyNumberFormat="1" applyFont="1"/>
    <xf numFmtId="165" fontId="0" fillId="0" borderId="0" xfId="2" applyNumberFormat="1" applyFont="1"/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left" vertical="center"/>
    </xf>
    <xf numFmtId="164" fontId="0" fillId="0" borderId="0" xfId="0" applyNumberFormat="1" applyAlignment="1">
      <alignment horizontal="left"/>
    </xf>
    <xf numFmtId="165" fontId="0" fillId="0" borderId="0" xfId="2" applyNumberFormat="1" applyFont="1" applyFill="1"/>
    <xf numFmtId="0" fontId="4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1" fontId="0" fillId="0" borderId="0" xfId="1" applyNumberFormat="1" applyFont="1" applyAlignment="1">
      <alignment horizontal="center"/>
    </xf>
    <xf numFmtId="0" fontId="3" fillId="0" borderId="10" xfId="0" applyFont="1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3" fillId="0" borderId="11" xfId="0" applyFont="1" applyBorder="1"/>
    <xf numFmtId="0" fontId="0" fillId="0" borderId="13" xfId="0" applyBorder="1" applyAlignment="1">
      <alignment horizontal="center"/>
    </xf>
    <xf numFmtId="0" fontId="3" fillId="0" borderId="16" xfId="0" applyFont="1" applyBorder="1"/>
    <xf numFmtId="0" fontId="5" fillId="0" borderId="17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0" xfId="0" applyFont="1"/>
    <xf numFmtId="0" fontId="5" fillId="0" borderId="8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2" fillId="0" borderId="0" xfId="0" applyFont="1"/>
    <xf numFmtId="0" fontId="6" fillId="0" borderId="26" xfId="0" applyFont="1" applyBorder="1" applyAlignment="1">
      <alignment wrapText="1"/>
    </xf>
    <xf numFmtId="0" fontId="6" fillId="0" borderId="27" xfId="0" applyFont="1" applyBorder="1" applyAlignment="1">
      <alignment horizontal="center" wrapText="1"/>
    </xf>
    <xf numFmtId="0" fontId="6" fillId="0" borderId="27" xfId="0" applyFont="1" applyBorder="1" applyAlignment="1">
      <alignment horizontal="center"/>
    </xf>
    <xf numFmtId="0" fontId="6" fillId="0" borderId="28" xfId="0" applyFont="1" applyBorder="1" applyAlignment="1">
      <alignment horizontal="center" wrapText="1"/>
    </xf>
    <xf numFmtId="0" fontId="6" fillId="0" borderId="6" xfId="0" applyFont="1" applyBorder="1" applyAlignment="1">
      <alignment horizontal="left"/>
    </xf>
    <xf numFmtId="0" fontId="6" fillId="0" borderId="19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/>
    <xf numFmtId="0" fontId="3" fillId="0" borderId="6" xfId="0" applyFont="1" applyBorder="1"/>
    <xf numFmtId="0" fontId="3" fillId="0" borderId="19" xfId="0" applyFont="1" applyBorder="1"/>
    <xf numFmtId="0" fontId="3" fillId="0" borderId="23" xfId="0" applyFont="1" applyBorder="1"/>
    <xf numFmtId="0" fontId="6" fillId="0" borderId="19" xfId="0" applyFont="1" applyBorder="1"/>
    <xf numFmtId="0" fontId="9" fillId="0" borderId="0" xfId="0" applyFont="1"/>
    <xf numFmtId="0" fontId="6" fillId="0" borderId="6" xfId="0" applyFont="1" applyBorder="1"/>
    <xf numFmtId="0" fontId="0" fillId="0" borderId="18" xfId="0" applyBorder="1" applyAlignment="1">
      <alignment horizontal="center"/>
    </xf>
    <xf numFmtId="0" fontId="5" fillId="0" borderId="6" xfId="0" applyFont="1" applyBorder="1"/>
    <xf numFmtId="0" fontId="5" fillId="0" borderId="31" xfId="0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4" fillId="0" borderId="2" xfId="0" applyFont="1" applyBorder="1"/>
    <xf numFmtId="0" fontId="0" fillId="0" borderId="12" xfId="0" applyBorder="1"/>
    <xf numFmtId="0" fontId="5" fillId="0" borderId="9" xfId="0" applyFont="1" applyBorder="1" applyAlignment="1">
      <alignment horizontal="center"/>
    </xf>
    <xf numFmtId="1" fontId="5" fillId="0" borderId="25" xfId="1" applyNumberFormat="1" applyFont="1" applyBorder="1" applyAlignment="1">
      <alignment horizontal="center"/>
    </xf>
    <xf numFmtId="0" fontId="6" fillId="0" borderId="10" xfId="0" applyFont="1" applyBorder="1"/>
    <xf numFmtId="0" fontId="6" fillId="0" borderId="0" xfId="0" applyFont="1"/>
    <xf numFmtId="0" fontId="6" fillId="0" borderId="26" xfId="0" applyFont="1" applyBorder="1"/>
    <xf numFmtId="0" fontId="0" fillId="0" borderId="1" xfId="0" applyBorder="1"/>
    <xf numFmtId="0" fontId="5" fillId="0" borderId="13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35" xfId="0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6" fillId="0" borderId="0" xfId="0" applyFont="1" applyAlignment="1">
      <alignment horizontal="left" vertical="center"/>
    </xf>
    <xf numFmtId="9" fontId="0" fillId="0" borderId="0" xfId="2" applyFont="1" applyFill="1"/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164" fontId="5" fillId="0" borderId="6" xfId="1" applyNumberFormat="1" applyFont="1" applyFill="1" applyBorder="1" applyAlignment="1">
      <alignment horizontal="center"/>
    </xf>
    <xf numFmtId="164" fontId="5" fillId="0" borderId="8" xfId="1" applyNumberFormat="1" applyFont="1" applyFill="1" applyBorder="1" applyAlignment="1">
      <alignment horizontal="center"/>
    </xf>
    <xf numFmtId="0" fontId="6" fillId="0" borderId="11" xfId="0" applyFont="1" applyBorder="1"/>
    <xf numFmtId="0" fontId="6" fillId="0" borderId="16" xfId="0" applyFont="1" applyBorder="1"/>
    <xf numFmtId="0" fontId="6" fillId="0" borderId="20" xfId="0" applyFont="1" applyBorder="1"/>
    <xf numFmtId="164" fontId="5" fillId="0" borderId="12" xfId="1" applyNumberFormat="1" applyFont="1" applyFill="1" applyBorder="1" applyAlignment="1">
      <alignment horizontal="center"/>
    </xf>
    <xf numFmtId="164" fontId="5" fillId="0" borderId="14" xfId="1" applyNumberFormat="1" applyFont="1" applyFill="1" applyBorder="1" applyAlignment="1">
      <alignment horizontal="center"/>
    </xf>
    <xf numFmtId="164" fontId="5" fillId="0" borderId="19" xfId="1" applyNumberFormat="1" applyFont="1" applyFill="1" applyBorder="1" applyAlignment="1">
      <alignment horizontal="center"/>
    </xf>
    <xf numFmtId="164" fontId="5" fillId="0" borderId="18" xfId="1" applyNumberFormat="1" applyFont="1" applyFill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0" fontId="6" fillId="0" borderId="9" xfId="0" applyFont="1" applyBorder="1" applyAlignment="1">
      <alignment horizontal="center"/>
    </xf>
    <xf numFmtId="164" fontId="3" fillId="0" borderId="0" xfId="1" applyNumberFormat="1" applyFont="1" applyFill="1" applyAlignment="1">
      <alignment horizontal="center"/>
    </xf>
    <xf numFmtId="9" fontId="3" fillId="0" borderId="0" xfId="2" applyFont="1" applyFill="1" applyAlignment="1">
      <alignment horizontal="center"/>
    </xf>
    <xf numFmtId="165" fontId="3" fillId="0" borderId="0" xfId="2" applyNumberFormat="1" applyFont="1" applyFill="1" applyAlignment="1">
      <alignment horizontal="center"/>
    </xf>
    <xf numFmtId="164" fontId="0" fillId="0" borderId="0" xfId="1" applyNumberFormat="1" applyFont="1" applyFill="1" applyAlignment="1">
      <alignment horizontal="center"/>
    </xf>
    <xf numFmtId="9" fontId="0" fillId="0" borderId="0" xfId="2" applyFont="1" applyFill="1" applyAlignment="1">
      <alignment horizontal="center"/>
    </xf>
    <xf numFmtId="166" fontId="0" fillId="0" borderId="0" xfId="2" applyNumberFormat="1" applyFont="1" applyFill="1" applyAlignment="1">
      <alignment horizontal="center"/>
    </xf>
    <xf numFmtId="165" fontId="5" fillId="0" borderId="0" xfId="2" applyNumberFormat="1" applyFont="1" applyFill="1" applyAlignment="1">
      <alignment horizontal="center"/>
    </xf>
    <xf numFmtId="165" fontId="0" fillId="0" borderId="0" xfId="2" applyNumberFormat="1" applyFont="1" applyFill="1" applyAlignment="1">
      <alignment horizontal="center"/>
    </xf>
    <xf numFmtId="10" fontId="5" fillId="0" borderId="0" xfId="2" applyNumberFormat="1" applyFont="1" applyFill="1" applyAlignment="1">
      <alignment horizontal="center"/>
    </xf>
    <xf numFmtId="9" fontId="5" fillId="0" borderId="0" xfId="2" applyFont="1" applyFill="1" applyAlignment="1">
      <alignment horizontal="center"/>
    </xf>
    <xf numFmtId="9" fontId="0" fillId="0" borderId="0" xfId="2" applyFont="1" applyAlignment="1">
      <alignment horizontal="center"/>
    </xf>
    <xf numFmtId="10" fontId="0" fillId="0" borderId="0" xfId="2" applyNumberFormat="1" applyFont="1" applyFill="1" applyAlignment="1">
      <alignment horizontal="center"/>
    </xf>
    <xf numFmtId="164" fontId="3" fillId="0" borderId="0" xfId="0" applyNumberFormat="1" applyFont="1" applyAlignment="1">
      <alignment horizontal="center"/>
    </xf>
    <xf numFmtId="166" fontId="3" fillId="0" borderId="0" xfId="2" applyNumberFormat="1" applyFont="1" applyFill="1" applyAlignment="1">
      <alignment horizontal="center"/>
    </xf>
    <xf numFmtId="164" fontId="0" fillId="0" borderId="0" xfId="1" applyNumberFormat="1" applyFont="1" applyAlignment="1">
      <alignment horizontal="center"/>
    </xf>
    <xf numFmtId="165" fontId="1" fillId="0" borderId="0" xfId="2" applyNumberFormat="1" applyFont="1" applyFill="1" applyAlignment="1">
      <alignment horizontal="center"/>
    </xf>
    <xf numFmtId="0" fontId="3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5" fillId="0" borderId="0" xfId="0" applyFont="1" applyAlignment="1">
      <alignment horizontal="center" wrapText="1"/>
    </xf>
    <xf numFmtId="0" fontId="3" fillId="0" borderId="36" xfId="0" applyFont="1" applyBorder="1"/>
    <xf numFmtId="0" fontId="11" fillId="0" borderId="0" xfId="0" applyFont="1" applyAlignment="1">
      <alignment vertical="center"/>
    </xf>
    <xf numFmtId="1" fontId="3" fillId="0" borderId="0" xfId="1" applyNumberFormat="1" applyFont="1" applyFill="1" applyAlignment="1">
      <alignment horizontal="center"/>
    </xf>
    <xf numFmtId="1" fontId="3" fillId="0" borderId="0" xfId="0" applyNumberFormat="1" applyFont="1" applyAlignment="1">
      <alignment horizontal="center"/>
    </xf>
    <xf numFmtId="0" fontId="13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167" fontId="5" fillId="0" borderId="0" xfId="0" applyNumberFormat="1" applyFont="1" applyAlignment="1">
      <alignment horizontal="center"/>
    </xf>
    <xf numFmtId="167" fontId="0" fillId="0" borderId="0" xfId="0" applyNumberFormat="1" applyAlignment="1">
      <alignment horizontal="center"/>
    </xf>
    <xf numFmtId="165" fontId="0" fillId="0" borderId="0" xfId="2" applyNumberFormat="1" applyFont="1" applyAlignment="1">
      <alignment horizontal="center"/>
    </xf>
    <xf numFmtId="166" fontId="0" fillId="0" borderId="0" xfId="2" applyNumberFormat="1" applyFont="1" applyAlignment="1">
      <alignment horizontal="center"/>
    </xf>
    <xf numFmtId="10" fontId="0" fillId="0" borderId="0" xfId="2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14" fillId="0" borderId="15" xfId="0" applyFont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0" fillId="0" borderId="43" xfId="0" applyBorder="1"/>
    <xf numFmtId="0" fontId="0" fillId="0" borderId="5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4" xfId="0" applyBorder="1"/>
    <xf numFmtId="0" fontId="0" fillId="0" borderId="9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5" xfId="0" applyBorder="1"/>
    <xf numFmtId="0" fontId="0" fillId="0" borderId="4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47" xfId="0" applyBorder="1"/>
    <xf numFmtId="0" fontId="0" fillId="0" borderId="48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50" xfId="0" applyBorder="1"/>
    <xf numFmtId="0" fontId="0" fillId="0" borderId="1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12" xfId="0" applyBorder="1" applyAlignment="1">
      <alignment horizontal="center"/>
    </xf>
    <xf numFmtId="0" fontId="15" fillId="0" borderId="0" xfId="0" applyFont="1"/>
    <xf numFmtId="0" fontId="3" fillId="0" borderId="7" xfId="0" applyFont="1" applyBorder="1"/>
    <xf numFmtId="0" fontId="5" fillId="0" borderId="0" xfId="0" applyFont="1" applyAlignment="1">
      <alignment vertical="center"/>
    </xf>
    <xf numFmtId="0" fontId="3" fillId="0" borderId="51" xfId="0" applyFont="1" applyBorder="1" applyAlignment="1">
      <alignment horizontal="center"/>
    </xf>
    <xf numFmtId="167" fontId="5" fillId="0" borderId="18" xfId="0" applyNumberFormat="1" applyFont="1" applyBorder="1" applyAlignment="1">
      <alignment horizontal="center"/>
    </xf>
    <xf numFmtId="167" fontId="5" fillId="0" borderId="17" xfId="0" applyNumberFormat="1" applyFont="1" applyBorder="1" applyAlignment="1">
      <alignment horizontal="center"/>
    </xf>
    <xf numFmtId="167" fontId="5" fillId="0" borderId="8" xfId="0" applyNumberFormat="1" applyFont="1" applyBorder="1" applyAlignment="1">
      <alignment horizontal="center"/>
    </xf>
    <xf numFmtId="0" fontId="16" fillId="0" borderId="0" xfId="0" applyFont="1"/>
    <xf numFmtId="0" fontId="15" fillId="0" borderId="37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7" fillId="0" borderId="38" xfId="0" applyFont="1" applyBorder="1" applyAlignment="1">
      <alignment vertical="center"/>
    </xf>
    <xf numFmtId="0" fontId="6" fillId="0" borderId="1" xfId="0" applyFont="1" applyBorder="1"/>
    <xf numFmtId="0" fontId="6" fillId="0" borderId="37" xfId="0" applyFont="1" applyBorder="1"/>
    <xf numFmtId="0" fontId="6" fillId="3" borderId="39" xfId="0" applyFont="1" applyFill="1" applyBorder="1"/>
    <xf numFmtId="0" fontId="5" fillId="0" borderId="36" xfId="0" applyFont="1" applyBorder="1"/>
    <xf numFmtId="0" fontId="5" fillId="3" borderId="52" xfId="0" applyFont="1" applyFill="1" applyBorder="1" applyAlignment="1">
      <alignment horizontal="left" vertical="center"/>
    </xf>
    <xf numFmtId="0" fontId="6" fillId="0" borderId="36" xfId="0" applyFont="1" applyBorder="1" applyAlignment="1">
      <alignment horizontal="center"/>
    </xf>
    <xf numFmtId="0" fontId="6" fillId="0" borderId="52" xfId="0" applyFont="1" applyBorder="1" applyAlignment="1">
      <alignment horizontal="center"/>
    </xf>
    <xf numFmtId="165" fontId="5" fillId="3" borderId="40" xfId="2" applyNumberFormat="1" applyFont="1" applyFill="1" applyBorder="1" applyAlignment="1">
      <alignment horizontal="center"/>
    </xf>
    <xf numFmtId="165" fontId="5" fillId="3" borderId="38" xfId="2" applyNumberFormat="1" applyFont="1" applyFill="1" applyBorder="1" applyAlignment="1">
      <alignment horizontal="center"/>
    </xf>
    <xf numFmtId="165" fontId="5" fillId="3" borderId="41" xfId="2" applyNumberFormat="1" applyFont="1" applyFill="1" applyBorder="1" applyAlignment="1">
      <alignment horizontal="center"/>
    </xf>
    <xf numFmtId="0" fontId="5" fillId="0" borderId="36" xfId="0" applyFont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36" xfId="0" applyFont="1" applyBorder="1" applyAlignment="1">
      <alignment vertical="center" wrapText="1"/>
    </xf>
    <xf numFmtId="0" fontId="5" fillId="0" borderId="40" xfId="0" applyFont="1" applyBorder="1"/>
    <xf numFmtId="0" fontId="5" fillId="0" borderId="38" xfId="0" applyFont="1" applyBorder="1" applyAlignment="1">
      <alignment horizontal="left" vertical="center"/>
    </xf>
    <xf numFmtId="0" fontId="5" fillId="3" borderId="41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21" fillId="0" borderId="0" xfId="0" applyFont="1"/>
    <xf numFmtId="10" fontId="5" fillId="0" borderId="0" xfId="2" applyNumberFormat="1" applyFont="1" applyFill="1" applyAlignment="1">
      <alignment horizontal="left" vertical="center"/>
    </xf>
    <xf numFmtId="0" fontId="22" fillId="0" borderId="0" xfId="0" applyFont="1"/>
    <xf numFmtId="0" fontId="5" fillId="0" borderId="0" xfId="0" applyFont="1" applyAlignment="1">
      <alignment wrapText="1"/>
    </xf>
    <xf numFmtId="0" fontId="5" fillId="0" borderId="38" xfId="0" applyFont="1" applyBorder="1"/>
    <xf numFmtId="16" fontId="5" fillId="0" borderId="38" xfId="0" applyNumberFormat="1" applyFont="1" applyBorder="1"/>
    <xf numFmtId="0" fontId="0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0" fillId="0" borderId="20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3" fillId="0" borderId="39" xfId="0" applyFont="1" applyBorder="1" applyAlignment="1">
      <alignment horizontal="left" vertical="center"/>
    </xf>
    <xf numFmtId="0" fontId="3" fillId="0" borderId="40" xfId="0" applyFont="1" applyBorder="1" applyAlignment="1">
      <alignment horizontal="left" vertical="center"/>
    </xf>
    <xf numFmtId="0" fontId="3" fillId="0" borderId="41" xfId="0" applyFont="1" applyBorder="1" applyAlignment="1">
      <alignment horizontal="left" vertical="center"/>
    </xf>
    <xf numFmtId="0" fontId="14" fillId="0" borderId="5" xfId="0" applyFont="1" applyBorder="1" applyAlignment="1">
      <alignment horizontal="center" vertical="center" wrapText="1"/>
    </xf>
    <xf numFmtId="0" fontId="14" fillId="0" borderId="33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37" xfId="0" applyFont="1" applyBorder="1" applyAlignment="1">
      <alignment horizontal="left" wrapText="1"/>
    </xf>
    <xf numFmtId="0" fontId="6" fillId="0" borderId="20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6" fillId="0" borderId="38" xfId="0" applyFont="1" applyBorder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left" vertical="center" wrapText="1"/>
    </xf>
    <xf numFmtId="167" fontId="6" fillId="0" borderId="1" xfId="0" applyNumberFormat="1" applyFont="1" applyBorder="1" applyAlignment="1">
      <alignment horizontal="center"/>
    </xf>
    <xf numFmtId="167" fontId="6" fillId="0" borderId="37" xfId="0" applyNumberFormat="1" applyFont="1" applyBorder="1" applyAlignment="1">
      <alignment horizontal="center"/>
    </xf>
    <xf numFmtId="167" fontId="6" fillId="0" borderId="39" xfId="0" applyNumberFormat="1" applyFont="1" applyBorder="1" applyAlignment="1">
      <alignment horizontal="center"/>
    </xf>
    <xf numFmtId="0" fontId="6" fillId="0" borderId="36" xfId="0" applyFont="1" applyBorder="1" applyAlignment="1">
      <alignment horizontal="center"/>
    </xf>
    <xf numFmtId="0" fontId="6" fillId="0" borderId="52" xfId="0" applyFont="1" applyBorder="1" applyAlignment="1">
      <alignment horizontal="center"/>
    </xf>
    <xf numFmtId="0" fontId="3" fillId="0" borderId="0" xfId="0" applyFont="1" applyAlignment="1">
      <alignment horizontal="left" wrapText="1"/>
    </xf>
    <xf numFmtId="0" fontId="3" fillId="2" borderId="5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D7177-B1DA-4E90-B855-26E673945BF5}">
  <sheetPr>
    <pageSetUpPr fitToPage="1"/>
  </sheetPr>
  <dimension ref="A1:A23"/>
  <sheetViews>
    <sheetView tabSelected="1" workbookViewId="0">
      <selection activeCell="A25" sqref="A25"/>
    </sheetView>
  </sheetViews>
  <sheetFormatPr defaultRowHeight="15" x14ac:dyDescent="0.25"/>
  <cols>
    <col min="1" max="1" width="102.5703125" customWidth="1"/>
  </cols>
  <sheetData>
    <row r="1" spans="1:1" x14ac:dyDescent="0.25">
      <c r="A1" s="19" t="s">
        <v>0</v>
      </c>
    </row>
    <row r="2" spans="1:1" x14ac:dyDescent="0.25">
      <c r="A2" s="13" t="s">
        <v>1</v>
      </c>
    </row>
    <row r="3" spans="1:1" x14ac:dyDescent="0.25">
      <c r="A3" s="13" t="s">
        <v>3015</v>
      </c>
    </row>
    <row r="4" spans="1:1" x14ac:dyDescent="0.25">
      <c r="A4" s="13" t="s">
        <v>3016</v>
      </c>
    </row>
    <row r="5" spans="1:1" x14ac:dyDescent="0.25">
      <c r="A5" s="13" t="s">
        <v>2</v>
      </c>
    </row>
    <row r="6" spans="1:1" x14ac:dyDescent="0.25">
      <c r="A6" s="13" t="s">
        <v>3</v>
      </c>
    </row>
    <row r="7" spans="1:1" x14ac:dyDescent="0.25">
      <c r="A7" s="13" t="s">
        <v>830</v>
      </c>
    </row>
    <row r="8" spans="1:1" x14ac:dyDescent="0.25">
      <c r="A8" s="13" t="s">
        <v>1025</v>
      </c>
    </row>
    <row r="9" spans="1:1" x14ac:dyDescent="0.25">
      <c r="A9" s="33" t="s">
        <v>3071</v>
      </c>
    </row>
    <row r="10" spans="1:1" x14ac:dyDescent="0.25">
      <c r="A10" s="13" t="s">
        <v>3069</v>
      </c>
    </row>
    <row r="11" spans="1:1" x14ac:dyDescent="0.25">
      <c r="A11" s="13" t="s">
        <v>4</v>
      </c>
    </row>
    <row r="12" spans="1:1" x14ac:dyDescent="0.25">
      <c r="A12" s="13" t="s">
        <v>5</v>
      </c>
    </row>
    <row r="13" spans="1:1" x14ac:dyDescent="0.25">
      <c r="A13" s="13" t="s">
        <v>6</v>
      </c>
    </row>
    <row r="14" spans="1:1" x14ac:dyDescent="0.25">
      <c r="A14" s="13" t="s">
        <v>7</v>
      </c>
    </row>
    <row r="15" spans="1:1" x14ac:dyDescent="0.25">
      <c r="A15" s="13" t="s">
        <v>8</v>
      </c>
    </row>
    <row r="16" spans="1:1" x14ac:dyDescent="0.25">
      <c r="A16" s="13" t="s">
        <v>9</v>
      </c>
    </row>
    <row r="17" spans="1:1" x14ac:dyDescent="0.25">
      <c r="A17" s="13" t="s">
        <v>3158</v>
      </c>
    </row>
    <row r="18" spans="1:1" x14ac:dyDescent="0.25">
      <c r="A18" s="13" t="s">
        <v>2865</v>
      </c>
    </row>
    <row r="19" spans="1:1" x14ac:dyDescent="0.25">
      <c r="A19" s="13" t="s">
        <v>2866</v>
      </c>
    </row>
    <row r="20" spans="1:1" x14ac:dyDescent="0.25">
      <c r="A20" t="s">
        <v>2867</v>
      </c>
    </row>
    <row r="21" spans="1:1" x14ac:dyDescent="0.25">
      <c r="A21" s="13" t="s">
        <v>2864</v>
      </c>
    </row>
    <row r="22" spans="1:1" x14ac:dyDescent="0.25">
      <c r="A22" s="13" t="s">
        <v>3072</v>
      </c>
    </row>
    <row r="23" spans="1:1" x14ac:dyDescent="0.25">
      <c r="A23" s="13" t="s">
        <v>3073</v>
      </c>
    </row>
  </sheetData>
  <pageMargins left="0.25" right="0.25" top="0.75" bottom="0.75" header="0.3" footer="0.3"/>
  <pageSetup scale="68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D5227-12D5-4ED1-800D-03A560E40EAE}">
  <sheetPr>
    <pageSetUpPr fitToPage="1"/>
  </sheetPr>
  <dimension ref="A1:AN55"/>
  <sheetViews>
    <sheetView zoomScaleNormal="100" workbookViewId="0">
      <pane xSplit="1" ySplit="2" topLeftCell="B24" activePane="bottomRight" state="frozen"/>
      <selection pane="topRight" activeCell="B1" sqref="B1"/>
      <selection pane="bottomLeft" activeCell="A2" sqref="A2"/>
      <selection pane="bottomRight" activeCell="A52" sqref="A52"/>
    </sheetView>
  </sheetViews>
  <sheetFormatPr defaultColWidth="8.85546875" defaultRowHeight="15" x14ac:dyDescent="0.25"/>
  <cols>
    <col min="1" max="1" width="15.5703125" style="1" bestFit="1" customWidth="1"/>
    <col min="2" max="2" width="8.85546875" style="1"/>
    <col min="3" max="3" width="11.42578125" style="1" customWidth="1"/>
    <col min="4" max="4" width="12.85546875" style="1" bestFit="1" customWidth="1"/>
    <col min="5" max="5" width="11.140625" style="1" customWidth="1"/>
    <col min="6" max="9" width="7.5703125" style="1" customWidth="1"/>
    <col min="10" max="10" width="8.5703125" style="1" customWidth="1"/>
    <col min="11" max="11" width="7.5703125" style="1" customWidth="1"/>
    <col min="12" max="12" width="8.42578125" style="1" bestFit="1" customWidth="1"/>
    <col min="13" max="13" width="15.140625" style="1" hidden="1" customWidth="1"/>
    <col min="14" max="15" width="7.5703125" style="1" hidden="1" customWidth="1"/>
    <col min="16" max="17" width="13.140625" style="1" hidden="1" customWidth="1"/>
    <col min="18" max="18" width="7.5703125" style="1" customWidth="1"/>
    <col min="19" max="19" width="10.140625" style="1" customWidth="1"/>
    <col min="20" max="20" width="9.85546875" style="1" customWidth="1"/>
    <col min="21" max="21" width="10.140625" style="1" customWidth="1"/>
    <col min="22" max="22" width="9.140625" style="1" customWidth="1"/>
    <col min="23" max="23" width="8.140625" style="1" customWidth="1"/>
    <col min="24" max="24" width="7.42578125" style="1" customWidth="1"/>
    <col min="25" max="25" width="12.140625" style="1" customWidth="1"/>
    <col min="26" max="26" width="7.85546875" style="1" customWidth="1"/>
    <col min="27" max="28" width="8.85546875" style="1"/>
    <col min="29" max="29" width="11.85546875" style="1" bestFit="1" customWidth="1"/>
    <col min="30" max="34" width="11.85546875" style="1" customWidth="1"/>
    <col min="35" max="35" width="9.140625" bestFit="1" customWidth="1"/>
    <col min="37" max="37" width="16.5703125" customWidth="1"/>
  </cols>
  <sheetData>
    <row r="1" spans="1:40" x14ac:dyDescent="0.25">
      <c r="A1" s="43" t="s">
        <v>1</v>
      </c>
      <c r="AD1" s="191" t="s">
        <v>10</v>
      </c>
      <c r="AE1" s="191"/>
      <c r="AF1" s="191"/>
      <c r="AG1" s="191"/>
      <c r="AH1" s="191"/>
      <c r="AI1" s="191"/>
      <c r="AL1" s="190"/>
      <c r="AM1" s="190"/>
      <c r="AN1" s="190"/>
    </row>
    <row r="2" spans="1:40" s="12" customFormat="1" ht="90" x14ac:dyDescent="0.25">
      <c r="A2" s="108" t="s">
        <v>11</v>
      </c>
      <c r="B2" s="109" t="s">
        <v>12</v>
      </c>
      <c r="C2" s="109" t="s">
        <v>13</v>
      </c>
      <c r="D2" s="110" t="s">
        <v>14</v>
      </c>
      <c r="E2" s="110" t="s">
        <v>15</v>
      </c>
      <c r="F2" s="110" t="s">
        <v>16</v>
      </c>
      <c r="G2" s="110" t="s">
        <v>17</v>
      </c>
      <c r="H2" s="110" t="s">
        <v>18</v>
      </c>
      <c r="I2" s="110" t="s">
        <v>19</v>
      </c>
      <c r="J2" s="110" t="s">
        <v>20</v>
      </c>
      <c r="K2" s="110" t="s">
        <v>21</v>
      </c>
      <c r="L2" s="110" t="s">
        <v>22</v>
      </c>
      <c r="M2" s="110"/>
      <c r="N2" s="110"/>
      <c r="O2" s="110"/>
      <c r="P2" s="110"/>
      <c r="Q2" s="110"/>
      <c r="R2" s="110" t="s">
        <v>23</v>
      </c>
      <c r="S2" s="110" t="s">
        <v>24</v>
      </c>
      <c r="T2" s="110" t="s">
        <v>25</v>
      </c>
      <c r="U2" s="110" t="s">
        <v>26</v>
      </c>
      <c r="V2" s="110" t="s">
        <v>27</v>
      </c>
      <c r="W2" s="110" t="s">
        <v>28</v>
      </c>
      <c r="X2" s="110" t="s">
        <v>29</v>
      </c>
      <c r="Y2" s="110" t="s">
        <v>30</v>
      </c>
      <c r="Z2" s="110" t="s">
        <v>31</v>
      </c>
      <c r="AA2" s="110" t="s">
        <v>32</v>
      </c>
      <c r="AB2" s="110" t="s">
        <v>33</v>
      </c>
      <c r="AC2" s="110" t="s">
        <v>34</v>
      </c>
      <c r="AD2" s="110" t="s">
        <v>35</v>
      </c>
      <c r="AE2" s="110" t="s">
        <v>36</v>
      </c>
      <c r="AF2" s="110" t="s">
        <v>37</v>
      </c>
      <c r="AG2" s="110" t="s">
        <v>38</v>
      </c>
      <c r="AH2" s="110" t="s">
        <v>39</v>
      </c>
      <c r="AI2" s="111" t="s">
        <v>40</v>
      </c>
      <c r="AL2" s="109"/>
      <c r="AM2" s="109"/>
      <c r="AN2" s="109"/>
    </row>
    <row r="3" spans="1:40" x14ac:dyDescent="0.25">
      <c r="A3" s="73" t="s">
        <v>41</v>
      </c>
      <c r="D3" s="92">
        <f>SUM(D4:D28)</f>
        <v>3281919</v>
      </c>
      <c r="E3" s="123" t="s">
        <v>42</v>
      </c>
      <c r="F3" s="123" t="s">
        <v>43</v>
      </c>
      <c r="G3" s="93">
        <v>0.56000000000000005</v>
      </c>
      <c r="H3" s="93">
        <f>M3/$D3</f>
        <v>0.78463371743802945</v>
      </c>
      <c r="I3" s="94">
        <v>8.968254545873923E-2</v>
      </c>
      <c r="J3" s="94">
        <v>5.7108495634718585E-2</v>
      </c>
      <c r="K3" s="94">
        <v>2.5703563757089737E-2</v>
      </c>
      <c r="L3" s="94">
        <v>4.2878510361574841E-2</v>
      </c>
      <c r="M3" s="93">
        <f>SUM(M4:M28)</f>
        <v>2575104.3053005002</v>
      </c>
      <c r="N3" s="93" t="e">
        <f>SUM(N4:N28)</f>
        <v>#VALUE!</v>
      </c>
      <c r="O3" s="93" t="e">
        <f>SUM(O4:O28)</f>
        <v>#VALUE!</v>
      </c>
      <c r="P3" s="93" t="e">
        <f>SUM(P4:P28)</f>
        <v>#VALUE!</v>
      </c>
      <c r="Q3" s="93" t="e">
        <f>SUM(Q4:Q28)</f>
        <v>#VALUE!</v>
      </c>
      <c r="R3" s="123" t="s">
        <v>44</v>
      </c>
      <c r="S3" s="123" t="s">
        <v>45</v>
      </c>
      <c r="T3" s="123" t="s">
        <v>46</v>
      </c>
      <c r="U3" s="123" t="s">
        <v>47</v>
      </c>
      <c r="V3" s="93">
        <v>0.11</v>
      </c>
      <c r="W3" s="94">
        <v>0.06</v>
      </c>
      <c r="X3" s="123" t="s">
        <v>48</v>
      </c>
      <c r="Y3" s="93">
        <v>0.25</v>
      </c>
      <c r="Z3" s="93">
        <v>0.15</v>
      </c>
      <c r="AA3" s="123" t="s">
        <v>49</v>
      </c>
      <c r="AB3" s="93" t="s">
        <v>50</v>
      </c>
      <c r="AC3" s="93" t="s">
        <v>51</v>
      </c>
      <c r="AD3" s="114">
        <f t="shared" ref="AD3:AI3" si="0">SUM(AD4:AD28)</f>
        <v>106661</v>
      </c>
      <c r="AE3" s="114">
        <f t="shared" si="0"/>
        <v>66503</v>
      </c>
      <c r="AF3" s="114">
        <f t="shared" si="0"/>
        <v>59350</v>
      </c>
      <c r="AG3" s="114">
        <f t="shared" si="0"/>
        <v>35980</v>
      </c>
      <c r="AH3" s="114">
        <f t="shared" si="0"/>
        <v>33160</v>
      </c>
      <c r="AI3" s="114">
        <f t="shared" si="0"/>
        <v>165186</v>
      </c>
      <c r="AL3" s="6"/>
      <c r="AM3" s="6"/>
      <c r="AN3" s="6"/>
    </row>
    <row r="4" spans="1:40" x14ac:dyDescent="0.25">
      <c r="A4" s="1" t="s">
        <v>52</v>
      </c>
      <c r="B4" s="1">
        <v>4</v>
      </c>
      <c r="C4" s="1" t="s">
        <v>53</v>
      </c>
      <c r="D4" s="95">
        <v>8838</v>
      </c>
      <c r="E4" s="20" t="s">
        <v>54</v>
      </c>
      <c r="F4" s="20" t="s">
        <v>55</v>
      </c>
      <c r="G4" s="96">
        <v>0.57116999999999996</v>
      </c>
      <c r="H4" s="96">
        <v>0.78280000000000005</v>
      </c>
      <c r="I4" s="96">
        <v>0.2145</v>
      </c>
      <c r="J4" s="96">
        <v>0</v>
      </c>
      <c r="K4" s="97" t="s">
        <v>56</v>
      </c>
      <c r="L4" s="97" t="s">
        <v>56</v>
      </c>
      <c r="M4" s="97">
        <f t="shared" ref="M4:M28" si="1">H4*$D4</f>
        <v>6918.3864000000003</v>
      </c>
      <c r="N4" s="97">
        <f t="shared" ref="N4:Q19" si="2">I4*$D4</f>
        <v>1895.751</v>
      </c>
      <c r="O4" s="97">
        <f t="shared" si="2"/>
        <v>0</v>
      </c>
      <c r="P4" s="97" t="e">
        <f t="shared" si="2"/>
        <v>#VALUE!</v>
      </c>
      <c r="Q4" s="97" t="e">
        <f t="shared" si="2"/>
        <v>#VALUE!</v>
      </c>
      <c r="R4" s="20" t="s">
        <v>57</v>
      </c>
      <c r="S4" s="20" t="s">
        <v>58</v>
      </c>
      <c r="T4" s="20" t="s">
        <v>59</v>
      </c>
      <c r="U4" s="20" t="s">
        <v>60</v>
      </c>
      <c r="V4" s="96">
        <v>0.139624</v>
      </c>
      <c r="W4" s="96">
        <v>0.1444897</v>
      </c>
      <c r="X4" s="20" t="s">
        <v>61</v>
      </c>
      <c r="Y4" s="96">
        <v>0.372143</v>
      </c>
      <c r="Z4" s="98">
        <v>8.7349999999999997E-2</v>
      </c>
      <c r="AA4" s="44" t="s">
        <v>62</v>
      </c>
      <c r="AB4" s="44" t="s">
        <v>63</v>
      </c>
      <c r="AC4" s="44" t="s">
        <v>64</v>
      </c>
      <c r="AD4" s="20">
        <v>2451</v>
      </c>
      <c r="AE4" s="20">
        <v>1450</v>
      </c>
      <c r="AF4" s="20">
        <v>1582</v>
      </c>
      <c r="AG4" s="20">
        <v>854</v>
      </c>
      <c r="AH4" s="20">
        <v>720</v>
      </c>
      <c r="AI4" s="20">
        <v>3848</v>
      </c>
      <c r="AL4" s="8"/>
      <c r="AM4" s="6"/>
      <c r="AN4" s="6"/>
    </row>
    <row r="5" spans="1:40" x14ac:dyDescent="0.25">
      <c r="A5" s="10" t="s">
        <v>65</v>
      </c>
      <c r="B5" s="1" t="s">
        <v>66</v>
      </c>
      <c r="C5" s="1" t="s">
        <v>67</v>
      </c>
      <c r="D5" s="95">
        <v>2738</v>
      </c>
      <c r="E5" s="20" t="s">
        <v>68</v>
      </c>
      <c r="F5" s="20" t="s">
        <v>69</v>
      </c>
      <c r="G5" s="96">
        <v>0.51696500000000001</v>
      </c>
      <c r="H5" s="96">
        <v>0.53839999999999999</v>
      </c>
      <c r="I5" s="96">
        <v>0.46160000000000001</v>
      </c>
      <c r="J5" s="96">
        <v>0</v>
      </c>
      <c r="K5" s="96">
        <v>0</v>
      </c>
      <c r="L5" s="96">
        <v>0</v>
      </c>
      <c r="M5" s="97">
        <f t="shared" si="1"/>
        <v>1474.1392000000001</v>
      </c>
      <c r="N5" s="97">
        <f t="shared" si="2"/>
        <v>1263.8607999999999</v>
      </c>
      <c r="O5" s="97">
        <f t="shared" si="2"/>
        <v>0</v>
      </c>
      <c r="P5" s="97">
        <f t="shared" si="2"/>
        <v>0</v>
      </c>
      <c r="Q5" s="97">
        <f t="shared" si="2"/>
        <v>0</v>
      </c>
      <c r="R5" s="20" t="s">
        <v>70</v>
      </c>
      <c r="S5" s="20" t="s">
        <v>71</v>
      </c>
      <c r="T5" s="20" t="s">
        <v>72</v>
      </c>
      <c r="U5" s="20" t="s">
        <v>73</v>
      </c>
      <c r="V5" s="99">
        <v>1.4593E-2</v>
      </c>
      <c r="W5" s="96">
        <v>0.23312659999999999</v>
      </c>
      <c r="X5" s="20" t="s">
        <v>74</v>
      </c>
      <c r="Y5" s="99">
        <v>2.6633E-2</v>
      </c>
      <c r="Z5" s="100">
        <v>4.3779999999999999E-3</v>
      </c>
      <c r="AA5" s="44" t="s">
        <v>75</v>
      </c>
      <c r="AB5" s="44" t="s">
        <v>63</v>
      </c>
      <c r="AC5" s="44" t="s">
        <v>76</v>
      </c>
      <c r="AD5" s="20">
        <v>183</v>
      </c>
      <c r="AE5" s="20">
        <v>160</v>
      </c>
      <c r="AF5" s="20">
        <v>51</v>
      </c>
      <c r="AG5" s="20">
        <v>107</v>
      </c>
      <c r="AH5" s="20">
        <v>65</v>
      </c>
      <c r="AI5" s="20">
        <v>193</v>
      </c>
      <c r="AL5" s="6"/>
      <c r="AM5" s="6"/>
      <c r="AN5" s="6"/>
    </row>
    <row r="6" spans="1:40" ht="14.45" customHeight="1" x14ac:dyDescent="0.25">
      <c r="A6" s="12" t="s">
        <v>77</v>
      </c>
      <c r="B6" s="1">
        <v>5</v>
      </c>
      <c r="C6" s="1" t="s">
        <v>78</v>
      </c>
      <c r="D6" s="95">
        <v>2543</v>
      </c>
      <c r="E6" s="20" t="s">
        <v>79</v>
      </c>
      <c r="F6" s="20" t="s">
        <v>80</v>
      </c>
      <c r="G6" s="96">
        <v>0.62563899999999995</v>
      </c>
      <c r="H6" s="96">
        <v>0.85670000000000002</v>
      </c>
      <c r="I6" s="96">
        <v>0.13880000000000001</v>
      </c>
      <c r="J6" s="97" t="s">
        <v>56</v>
      </c>
      <c r="K6" s="97" t="s">
        <v>56</v>
      </c>
      <c r="L6" s="97" t="s">
        <v>56</v>
      </c>
      <c r="M6" s="97">
        <f t="shared" si="1"/>
        <v>2178.5880999999999</v>
      </c>
      <c r="N6" s="97">
        <f t="shared" si="2"/>
        <v>352.96840000000003</v>
      </c>
      <c r="O6" s="97" t="e">
        <f t="shared" si="2"/>
        <v>#VALUE!</v>
      </c>
      <c r="P6" s="97" t="e">
        <f t="shared" si="2"/>
        <v>#VALUE!</v>
      </c>
      <c r="Q6" s="97" t="e">
        <f t="shared" si="2"/>
        <v>#VALUE!</v>
      </c>
      <c r="R6" s="20" t="s">
        <v>81</v>
      </c>
      <c r="S6" s="20" t="s">
        <v>82</v>
      </c>
      <c r="T6" s="20" t="s">
        <v>46</v>
      </c>
      <c r="U6" s="20" t="s">
        <v>83</v>
      </c>
      <c r="V6" s="96">
        <v>0.122296</v>
      </c>
      <c r="W6" s="96">
        <v>0.1038144</v>
      </c>
      <c r="X6" s="20" t="s">
        <v>84</v>
      </c>
      <c r="Y6" s="96">
        <v>0.39716899999999999</v>
      </c>
      <c r="Z6" s="98">
        <v>4.5615000000000003E-2</v>
      </c>
      <c r="AA6" s="44" t="s">
        <v>85</v>
      </c>
      <c r="AB6" s="101" t="s">
        <v>63</v>
      </c>
      <c r="AC6" s="101" t="s">
        <v>86</v>
      </c>
      <c r="AD6" s="20">
        <v>1422</v>
      </c>
      <c r="AE6" s="20">
        <v>1190</v>
      </c>
      <c r="AF6" s="20">
        <v>805</v>
      </c>
      <c r="AG6" s="20">
        <v>918</v>
      </c>
      <c r="AH6" s="20">
        <v>451</v>
      </c>
      <c r="AI6" s="20">
        <v>2032</v>
      </c>
      <c r="AL6" s="6"/>
      <c r="AM6" s="6"/>
      <c r="AN6" s="6"/>
    </row>
    <row r="7" spans="1:40" x14ac:dyDescent="0.25">
      <c r="A7" s="13" t="s">
        <v>87</v>
      </c>
      <c r="B7" s="1">
        <v>1</v>
      </c>
      <c r="C7" s="1" t="s">
        <v>88</v>
      </c>
      <c r="D7" s="95">
        <v>2611</v>
      </c>
      <c r="E7" s="96" t="s">
        <v>89</v>
      </c>
      <c r="F7" s="20" t="s">
        <v>90</v>
      </c>
      <c r="G7" s="96">
        <v>0.53810800000000003</v>
      </c>
      <c r="H7" s="96">
        <v>1</v>
      </c>
      <c r="I7" s="96">
        <v>0</v>
      </c>
      <c r="J7" s="96">
        <v>0</v>
      </c>
      <c r="K7" s="96">
        <v>0</v>
      </c>
      <c r="L7" s="96">
        <v>0</v>
      </c>
      <c r="M7" s="97">
        <f t="shared" si="1"/>
        <v>2611</v>
      </c>
      <c r="N7" s="97">
        <f t="shared" si="2"/>
        <v>0</v>
      </c>
      <c r="O7" s="97">
        <f t="shared" si="2"/>
        <v>0</v>
      </c>
      <c r="P7" s="97">
        <f t="shared" si="2"/>
        <v>0</v>
      </c>
      <c r="Q7" s="97">
        <f t="shared" si="2"/>
        <v>0</v>
      </c>
      <c r="R7" s="96" t="s">
        <v>91</v>
      </c>
      <c r="S7" s="96" t="s">
        <v>82</v>
      </c>
      <c r="T7" s="20" t="s">
        <v>59</v>
      </c>
      <c r="U7" s="20" t="s">
        <v>92</v>
      </c>
      <c r="V7" s="99">
        <v>6.8172999999999997E-2</v>
      </c>
      <c r="W7" s="96">
        <v>0.1497511</v>
      </c>
      <c r="X7" s="99" t="s">
        <v>84</v>
      </c>
      <c r="Y7" s="96">
        <v>0.25469199999999997</v>
      </c>
      <c r="Z7" s="98">
        <v>9.2301999999999995E-2</v>
      </c>
      <c r="AA7" s="44" t="s">
        <v>93</v>
      </c>
      <c r="AB7" s="101" t="s">
        <v>63</v>
      </c>
      <c r="AC7" s="44" t="s">
        <v>94</v>
      </c>
      <c r="AD7" s="20">
        <v>166</v>
      </c>
      <c r="AE7" s="20">
        <v>118</v>
      </c>
      <c r="AF7" s="20">
        <v>76</v>
      </c>
      <c r="AG7" s="20">
        <v>88</v>
      </c>
      <c r="AH7" s="20">
        <v>36</v>
      </c>
      <c r="AI7" s="20">
        <v>233</v>
      </c>
      <c r="AL7" s="6"/>
      <c r="AM7" s="6"/>
      <c r="AN7" s="6"/>
    </row>
    <row r="8" spans="1:40" x14ac:dyDescent="0.25">
      <c r="A8" s="10" t="s">
        <v>95</v>
      </c>
      <c r="B8" s="1">
        <v>1</v>
      </c>
      <c r="C8" s="11" t="s">
        <v>96</v>
      </c>
      <c r="D8" s="95">
        <v>2399</v>
      </c>
      <c r="E8" s="20" t="s">
        <v>97</v>
      </c>
      <c r="F8" s="20" t="s">
        <v>98</v>
      </c>
      <c r="G8" s="96">
        <v>0.60400200000000004</v>
      </c>
      <c r="H8" s="102">
        <v>0</v>
      </c>
      <c r="I8" s="96">
        <v>1</v>
      </c>
      <c r="J8" s="96">
        <v>0</v>
      </c>
      <c r="K8" s="96">
        <v>0</v>
      </c>
      <c r="L8" s="96">
        <v>0</v>
      </c>
      <c r="M8" s="97">
        <f t="shared" si="1"/>
        <v>0</v>
      </c>
      <c r="N8" s="97">
        <f t="shared" si="2"/>
        <v>2399</v>
      </c>
      <c r="O8" s="97">
        <f t="shared" si="2"/>
        <v>0</v>
      </c>
      <c r="P8" s="97">
        <f t="shared" si="2"/>
        <v>0</v>
      </c>
      <c r="Q8" s="97">
        <f t="shared" si="2"/>
        <v>0</v>
      </c>
      <c r="R8" s="20" t="s">
        <v>99</v>
      </c>
      <c r="S8" s="20" t="s">
        <v>100</v>
      </c>
      <c r="T8" s="20" t="s">
        <v>72</v>
      </c>
      <c r="U8" s="20" t="s">
        <v>101</v>
      </c>
      <c r="V8" s="96">
        <v>0.145894</v>
      </c>
      <c r="W8" s="96">
        <v>0.13297210000000001</v>
      </c>
      <c r="X8" s="20" t="s">
        <v>102</v>
      </c>
      <c r="Y8" s="96">
        <v>0.39016299999999998</v>
      </c>
      <c r="Z8" s="98">
        <v>8.2533999999999996E-2</v>
      </c>
      <c r="AA8" s="44" t="s">
        <v>103</v>
      </c>
      <c r="AB8" s="101" t="s">
        <v>104</v>
      </c>
      <c r="AC8" s="44" t="s">
        <v>105</v>
      </c>
      <c r="AD8" s="20">
        <v>443</v>
      </c>
      <c r="AE8" s="20">
        <v>198</v>
      </c>
      <c r="AF8" s="20">
        <v>89</v>
      </c>
      <c r="AG8" s="20">
        <v>59</v>
      </c>
      <c r="AH8" s="20">
        <v>69</v>
      </c>
      <c r="AI8" s="20">
        <v>279</v>
      </c>
      <c r="AL8" s="6"/>
      <c r="AM8" s="17"/>
      <c r="AN8" s="6"/>
    </row>
    <row r="9" spans="1:40" ht="14.45" customHeight="1" x14ac:dyDescent="0.25">
      <c r="A9" s="14" t="s">
        <v>106</v>
      </c>
      <c r="B9" s="1">
        <v>1</v>
      </c>
      <c r="C9" s="11" t="s">
        <v>107</v>
      </c>
      <c r="D9" s="95">
        <v>5928</v>
      </c>
      <c r="E9" s="20" t="s">
        <v>108</v>
      </c>
      <c r="F9" s="20" t="s">
        <v>109</v>
      </c>
      <c r="G9" s="96">
        <v>0.512652</v>
      </c>
      <c r="H9" s="96">
        <v>0.39129999999999998</v>
      </c>
      <c r="I9" s="96">
        <v>0.27329999999999999</v>
      </c>
      <c r="J9" s="96">
        <v>0.22689999999999999</v>
      </c>
      <c r="K9" s="96">
        <v>0.1137</v>
      </c>
      <c r="L9" s="96">
        <v>0</v>
      </c>
      <c r="M9" s="97">
        <f t="shared" si="1"/>
        <v>2319.6264000000001</v>
      </c>
      <c r="N9" s="97">
        <f t="shared" si="2"/>
        <v>1620.1224</v>
      </c>
      <c r="O9" s="97">
        <f t="shared" si="2"/>
        <v>1345.0632000000001</v>
      </c>
      <c r="P9" s="97">
        <f t="shared" si="2"/>
        <v>674.0136</v>
      </c>
      <c r="Q9" s="97">
        <f t="shared" si="2"/>
        <v>0</v>
      </c>
      <c r="R9" s="20" t="s">
        <v>110</v>
      </c>
      <c r="S9" s="20" t="s">
        <v>111</v>
      </c>
      <c r="T9" s="20" t="s">
        <v>59</v>
      </c>
      <c r="U9" s="20" t="s">
        <v>112</v>
      </c>
      <c r="V9" s="96">
        <v>0.119265</v>
      </c>
      <c r="W9" s="96">
        <v>0.1504723</v>
      </c>
      <c r="X9" s="20" t="s">
        <v>113</v>
      </c>
      <c r="Y9" s="96">
        <v>0.359649</v>
      </c>
      <c r="Z9" s="101">
        <v>0.148448</v>
      </c>
      <c r="AA9" s="44" t="s">
        <v>114</v>
      </c>
      <c r="AB9" s="44" t="s">
        <v>63</v>
      </c>
      <c r="AC9" s="44" t="s">
        <v>115</v>
      </c>
      <c r="AD9" s="20">
        <v>675</v>
      </c>
      <c r="AE9" s="20">
        <v>511</v>
      </c>
      <c r="AF9" s="20">
        <v>281</v>
      </c>
      <c r="AG9" s="20">
        <v>261</v>
      </c>
      <c r="AH9" s="20">
        <v>247</v>
      </c>
      <c r="AI9" s="20">
        <v>998</v>
      </c>
      <c r="AL9" s="7"/>
      <c r="AM9" s="6"/>
      <c r="AN9" s="6"/>
    </row>
    <row r="10" spans="1:40" x14ac:dyDescent="0.25">
      <c r="A10" s="1" t="s">
        <v>116</v>
      </c>
      <c r="C10" s="1" t="s">
        <v>117</v>
      </c>
      <c r="D10" s="95">
        <v>166219</v>
      </c>
      <c r="E10" s="20" t="s">
        <v>118</v>
      </c>
      <c r="F10" s="20" t="s">
        <v>119</v>
      </c>
      <c r="G10" s="96">
        <v>0.55128500000000003</v>
      </c>
      <c r="H10" s="96">
        <v>0.94059999999999999</v>
      </c>
      <c r="I10" s="99">
        <v>2.3199999999999998E-2</v>
      </c>
      <c r="J10" s="99">
        <v>2.6100000000000002E-2</v>
      </c>
      <c r="K10" s="103">
        <v>6.7999999999999996E-3</v>
      </c>
      <c r="L10" s="97" t="s">
        <v>56</v>
      </c>
      <c r="M10" s="97">
        <f t="shared" si="1"/>
        <v>156345.5914</v>
      </c>
      <c r="N10" s="97">
        <f t="shared" si="2"/>
        <v>3856.2807999999995</v>
      </c>
      <c r="O10" s="97">
        <f t="shared" si="2"/>
        <v>4338.3159000000005</v>
      </c>
      <c r="P10" s="97">
        <f t="shared" si="2"/>
        <v>1130.2891999999999</v>
      </c>
      <c r="Q10" s="97" t="e">
        <f t="shared" si="2"/>
        <v>#VALUE!</v>
      </c>
      <c r="R10" s="20" t="s">
        <v>99</v>
      </c>
      <c r="S10" s="20" t="s">
        <v>111</v>
      </c>
      <c r="T10" s="20" t="s">
        <v>46</v>
      </c>
      <c r="U10" s="20" t="s">
        <v>47</v>
      </c>
      <c r="V10" s="96">
        <v>0.150639</v>
      </c>
      <c r="W10" s="96">
        <v>0.2103911</v>
      </c>
      <c r="X10" s="20" t="s">
        <v>48</v>
      </c>
      <c r="Y10" s="96">
        <v>0.408918</v>
      </c>
      <c r="Z10" s="96">
        <v>0.25328000000000001</v>
      </c>
      <c r="AA10" s="20" t="s">
        <v>49</v>
      </c>
      <c r="AB10" s="20" t="s">
        <v>120</v>
      </c>
      <c r="AC10" s="20" t="s">
        <v>121</v>
      </c>
      <c r="AD10" s="20">
        <v>9640</v>
      </c>
      <c r="AE10" s="20">
        <v>5902</v>
      </c>
      <c r="AF10" s="20">
        <v>5060</v>
      </c>
      <c r="AG10" s="20">
        <v>2805</v>
      </c>
      <c r="AH10" s="20">
        <v>2399</v>
      </c>
      <c r="AI10" s="20">
        <v>9066</v>
      </c>
      <c r="AJ10" s="1"/>
      <c r="AL10" s="6"/>
      <c r="AM10" s="6"/>
      <c r="AN10" s="6"/>
    </row>
    <row r="11" spans="1:40" x14ac:dyDescent="0.25">
      <c r="A11" s="10" t="s">
        <v>122</v>
      </c>
      <c r="C11" s="1" t="s">
        <v>123</v>
      </c>
      <c r="D11" s="95">
        <v>151346</v>
      </c>
      <c r="E11" s="20" t="s">
        <v>124</v>
      </c>
      <c r="F11" s="20" t="s">
        <v>43</v>
      </c>
      <c r="G11" s="96">
        <v>0.59541699999999997</v>
      </c>
      <c r="H11" s="96">
        <f>1-I11-J11-K11-L11</f>
        <v>0.82035199999999997</v>
      </c>
      <c r="I11" s="96">
        <v>0.1237033</v>
      </c>
      <c r="J11" s="99">
        <v>1.3228E-2</v>
      </c>
      <c r="K11" s="99">
        <v>1.9676800000000001E-2</v>
      </c>
      <c r="L11" s="99">
        <v>2.3039899999999999E-2</v>
      </c>
      <c r="M11" s="97">
        <f t="shared" si="1"/>
        <v>124156.99379199999</v>
      </c>
      <c r="N11" s="97">
        <f t="shared" si="2"/>
        <v>18721.999641800001</v>
      </c>
      <c r="O11" s="97">
        <f t="shared" si="2"/>
        <v>2002.0048879999999</v>
      </c>
      <c r="P11" s="97">
        <f t="shared" si="2"/>
        <v>2978.0049728000004</v>
      </c>
      <c r="Q11" s="97">
        <f t="shared" si="2"/>
        <v>3486.9967053999999</v>
      </c>
      <c r="R11" s="20" t="s">
        <v>44</v>
      </c>
      <c r="S11" s="20" t="s">
        <v>45</v>
      </c>
      <c r="T11" s="20" t="s">
        <v>46</v>
      </c>
      <c r="U11" s="20" t="s">
        <v>47</v>
      </c>
      <c r="V11" s="96">
        <v>0.14168900000000001</v>
      </c>
      <c r="W11" s="99">
        <v>5.5779500000000003E-2</v>
      </c>
      <c r="X11" s="20" t="s">
        <v>48</v>
      </c>
      <c r="Y11" s="96">
        <v>0.31379099999999999</v>
      </c>
      <c r="Z11" s="96">
        <v>0.19333800000000001</v>
      </c>
      <c r="AA11" s="20" t="s">
        <v>125</v>
      </c>
      <c r="AB11" s="96" t="s">
        <v>50</v>
      </c>
      <c r="AC11" s="96" t="s">
        <v>51</v>
      </c>
      <c r="AD11" s="20">
        <v>6625</v>
      </c>
      <c r="AE11" s="20">
        <v>3746</v>
      </c>
      <c r="AF11" s="20">
        <v>4040</v>
      </c>
      <c r="AG11" s="20">
        <v>1928</v>
      </c>
      <c r="AH11" s="20">
        <v>1993</v>
      </c>
      <c r="AI11" s="20">
        <v>11406</v>
      </c>
      <c r="AL11" s="6"/>
      <c r="AM11" s="6"/>
      <c r="AN11" s="6"/>
    </row>
    <row r="12" spans="1:40" x14ac:dyDescent="0.25">
      <c r="A12" s="10" t="s">
        <v>126</v>
      </c>
      <c r="C12" s="1" t="s">
        <v>127</v>
      </c>
      <c r="D12" s="95">
        <v>117111</v>
      </c>
      <c r="E12" s="20" t="s">
        <v>128</v>
      </c>
      <c r="F12" s="20" t="s">
        <v>129</v>
      </c>
      <c r="G12" s="96">
        <v>0.55556700000000003</v>
      </c>
      <c r="H12" s="96">
        <f t="shared" ref="H12:H28" si="3">1-I12-J12-K12-L12</f>
        <v>0.94034720000000005</v>
      </c>
      <c r="I12" s="103">
        <v>9.7856000000000002E-3</v>
      </c>
      <c r="J12" s="99">
        <v>1.9178400000000002E-2</v>
      </c>
      <c r="K12" s="103">
        <v>5.4307000000000001E-3</v>
      </c>
      <c r="L12" s="103">
        <v>2.5258099999999999E-2</v>
      </c>
      <c r="M12" s="97">
        <f t="shared" si="1"/>
        <v>110125.00093920001</v>
      </c>
      <c r="N12" s="97">
        <f t="shared" si="2"/>
        <v>1146.0014016</v>
      </c>
      <c r="O12" s="97">
        <f t="shared" si="2"/>
        <v>2246.0016024000001</v>
      </c>
      <c r="P12" s="97">
        <f t="shared" si="2"/>
        <v>635.99470770000005</v>
      </c>
      <c r="Q12" s="97">
        <f t="shared" si="2"/>
        <v>2958.0013491</v>
      </c>
      <c r="R12" s="20" t="s">
        <v>130</v>
      </c>
      <c r="S12" s="20" t="s">
        <v>131</v>
      </c>
      <c r="T12" s="20" t="s">
        <v>46</v>
      </c>
      <c r="U12" s="20" t="s">
        <v>47</v>
      </c>
      <c r="V12" s="96">
        <v>0.13161</v>
      </c>
      <c r="W12" s="99">
        <v>7.4151900000000007E-2</v>
      </c>
      <c r="X12" s="20" t="s">
        <v>102</v>
      </c>
      <c r="Y12" s="96">
        <v>0.38126199999999999</v>
      </c>
      <c r="Z12" s="96">
        <v>0.24654400000000001</v>
      </c>
      <c r="AA12" s="20" t="s">
        <v>132</v>
      </c>
      <c r="AB12" s="96" t="s">
        <v>120</v>
      </c>
      <c r="AC12" s="96" t="s">
        <v>133</v>
      </c>
      <c r="AD12" s="20">
        <v>4688</v>
      </c>
      <c r="AE12" s="20">
        <v>2704</v>
      </c>
      <c r="AF12" s="20">
        <v>2805</v>
      </c>
      <c r="AG12" s="20">
        <v>1497</v>
      </c>
      <c r="AH12" s="20">
        <v>1328</v>
      </c>
      <c r="AI12" s="20">
        <v>6275</v>
      </c>
      <c r="AL12" s="6"/>
      <c r="AM12" s="6"/>
      <c r="AN12" s="6"/>
    </row>
    <row r="13" spans="1:40" x14ac:dyDescent="0.25">
      <c r="A13" s="10" t="s">
        <v>134</v>
      </c>
      <c r="C13" s="1" t="s">
        <v>135</v>
      </c>
      <c r="D13" s="95">
        <v>50694</v>
      </c>
      <c r="E13" s="20" t="s">
        <v>136</v>
      </c>
      <c r="F13" s="20" t="s">
        <v>129</v>
      </c>
      <c r="G13" s="96">
        <v>0.59001099999999995</v>
      </c>
      <c r="H13" s="96">
        <v>0.95338690000000004</v>
      </c>
      <c r="I13" s="97" t="s">
        <v>56</v>
      </c>
      <c r="J13" s="99">
        <v>1.29601E-2</v>
      </c>
      <c r="K13" s="97" t="s">
        <v>56</v>
      </c>
      <c r="L13" s="99">
        <v>2.70052E-2</v>
      </c>
      <c r="M13" s="97">
        <f t="shared" si="1"/>
        <v>48330.995508600005</v>
      </c>
      <c r="N13" s="97" t="e">
        <f t="shared" si="2"/>
        <v>#VALUE!</v>
      </c>
      <c r="O13" s="97">
        <f t="shared" si="2"/>
        <v>656.99930940000002</v>
      </c>
      <c r="P13" s="97" t="e">
        <f t="shared" si="2"/>
        <v>#VALUE!</v>
      </c>
      <c r="Q13" s="97">
        <f t="shared" si="2"/>
        <v>1369.0016088</v>
      </c>
      <c r="R13" s="20" t="s">
        <v>137</v>
      </c>
      <c r="S13" s="20" t="s">
        <v>131</v>
      </c>
      <c r="T13" s="20" t="s">
        <v>46</v>
      </c>
      <c r="U13" s="20" t="s">
        <v>138</v>
      </c>
      <c r="V13" s="96">
        <v>0.12587300000000001</v>
      </c>
      <c r="W13" s="96">
        <v>0.1391289</v>
      </c>
      <c r="X13" s="20" t="s">
        <v>48</v>
      </c>
      <c r="Y13" s="96">
        <v>0.30745299999999998</v>
      </c>
      <c r="Z13" s="96">
        <v>0.15542300000000001</v>
      </c>
      <c r="AA13" s="20" t="s">
        <v>139</v>
      </c>
      <c r="AB13" s="96" t="s">
        <v>140</v>
      </c>
      <c r="AC13" s="96" t="s">
        <v>121</v>
      </c>
      <c r="AD13" s="20">
        <v>1995</v>
      </c>
      <c r="AE13" s="20">
        <v>1196</v>
      </c>
      <c r="AF13" s="20">
        <v>1082</v>
      </c>
      <c r="AG13" s="20">
        <v>622</v>
      </c>
      <c r="AH13" s="20">
        <v>613</v>
      </c>
      <c r="AI13" s="20">
        <v>3489</v>
      </c>
      <c r="AL13" s="6"/>
      <c r="AM13" s="6"/>
      <c r="AN13" s="6"/>
    </row>
    <row r="14" spans="1:40" x14ac:dyDescent="0.25">
      <c r="A14" s="10" t="s">
        <v>141</v>
      </c>
      <c r="C14" s="1" t="s">
        <v>142</v>
      </c>
      <c r="D14" s="95">
        <v>640772</v>
      </c>
      <c r="E14" s="20" t="s">
        <v>143</v>
      </c>
      <c r="F14" s="20" t="s">
        <v>119</v>
      </c>
      <c r="G14" s="96">
        <v>0.56066000000000005</v>
      </c>
      <c r="H14" s="96">
        <f t="shared" si="3"/>
        <v>0.7174252000000001</v>
      </c>
      <c r="I14" s="96">
        <v>0.12922069999999999</v>
      </c>
      <c r="J14" s="99">
        <v>7.2652999999999995E-2</v>
      </c>
      <c r="K14" s="99">
        <v>3.3236500000000002E-2</v>
      </c>
      <c r="L14" s="99">
        <v>4.7464600000000003E-2</v>
      </c>
      <c r="M14" s="97">
        <f t="shared" si="1"/>
        <v>459705.98025440006</v>
      </c>
      <c r="N14" s="97">
        <f t="shared" si="2"/>
        <v>82801.006380399995</v>
      </c>
      <c r="O14" s="97">
        <f t="shared" si="2"/>
        <v>46554.008115999997</v>
      </c>
      <c r="P14" s="97">
        <f t="shared" si="2"/>
        <v>21297.018578000003</v>
      </c>
      <c r="Q14" s="97">
        <f t="shared" si="2"/>
        <v>30413.9866712</v>
      </c>
      <c r="R14" s="20" t="s">
        <v>44</v>
      </c>
      <c r="S14" s="20" t="s">
        <v>45</v>
      </c>
      <c r="T14" s="20" t="s">
        <v>46</v>
      </c>
      <c r="U14" s="20" t="s">
        <v>47</v>
      </c>
      <c r="V14" s="99">
        <v>8.9698E-2</v>
      </c>
      <c r="W14" s="99">
        <v>9.6602000000000007E-3</v>
      </c>
      <c r="X14" s="20" t="s">
        <v>48</v>
      </c>
      <c r="Y14" s="96">
        <v>0.210254</v>
      </c>
      <c r="Z14" s="96">
        <v>0.13999700000000001</v>
      </c>
      <c r="AA14" s="20" t="s">
        <v>144</v>
      </c>
      <c r="AB14" s="96" t="s">
        <v>145</v>
      </c>
      <c r="AC14" s="96" t="s">
        <v>146</v>
      </c>
      <c r="AD14" s="20">
        <v>13614</v>
      </c>
      <c r="AE14" s="20">
        <v>8811</v>
      </c>
      <c r="AF14" s="20">
        <v>7208</v>
      </c>
      <c r="AG14" s="20">
        <v>4306</v>
      </c>
      <c r="AH14" s="20">
        <v>5022</v>
      </c>
      <c r="AI14" s="20">
        <v>30854</v>
      </c>
      <c r="AL14" s="6"/>
      <c r="AM14" s="6"/>
      <c r="AN14" s="6"/>
    </row>
    <row r="15" spans="1:40" x14ac:dyDescent="0.25">
      <c r="A15" s="10" t="s">
        <v>147</v>
      </c>
      <c r="C15" s="1" t="s">
        <v>148</v>
      </c>
      <c r="D15" s="95">
        <v>222974</v>
      </c>
      <c r="E15" s="95" t="s">
        <v>149</v>
      </c>
      <c r="F15" s="20" t="s">
        <v>150</v>
      </c>
      <c r="G15" s="96">
        <v>0.55537000000000003</v>
      </c>
      <c r="H15" s="96">
        <f t="shared" si="3"/>
        <v>0.67374230000000002</v>
      </c>
      <c r="I15" s="96">
        <v>0.1117754</v>
      </c>
      <c r="J15" s="96">
        <v>0.10572529999999999</v>
      </c>
      <c r="K15" s="99">
        <v>5.41453E-2</v>
      </c>
      <c r="L15" s="99">
        <v>5.4611699999999999E-2</v>
      </c>
      <c r="M15" s="97">
        <f t="shared" si="1"/>
        <v>150227.01560020001</v>
      </c>
      <c r="N15" s="97">
        <f t="shared" si="2"/>
        <v>24923.008039599998</v>
      </c>
      <c r="O15" s="97">
        <f t="shared" si="2"/>
        <v>23573.9930422</v>
      </c>
      <c r="P15" s="97">
        <f t="shared" si="2"/>
        <v>12072.9941222</v>
      </c>
      <c r="Q15" s="97">
        <f t="shared" si="2"/>
        <v>12176.989195799999</v>
      </c>
      <c r="R15" s="20" t="s">
        <v>44</v>
      </c>
      <c r="S15" s="20" t="s">
        <v>45</v>
      </c>
      <c r="T15" s="20" t="s">
        <v>46</v>
      </c>
      <c r="U15" s="20" t="s">
        <v>151</v>
      </c>
      <c r="V15" s="96">
        <v>0.106003</v>
      </c>
      <c r="W15" s="99">
        <v>3.1097799999999998E-2</v>
      </c>
      <c r="X15" s="20" t="s">
        <v>48</v>
      </c>
      <c r="Y15" s="96">
        <v>0.27163700000000002</v>
      </c>
      <c r="Z15" s="96">
        <v>0.163073</v>
      </c>
      <c r="AA15" s="20" t="s">
        <v>152</v>
      </c>
      <c r="AB15" s="96" t="s">
        <v>153</v>
      </c>
      <c r="AC15" s="96" t="s">
        <v>51</v>
      </c>
      <c r="AD15" s="20">
        <v>2044</v>
      </c>
      <c r="AE15" s="20">
        <v>1352</v>
      </c>
      <c r="AF15" s="20">
        <v>917</v>
      </c>
      <c r="AG15" s="20">
        <v>677</v>
      </c>
      <c r="AH15" s="20">
        <v>724</v>
      </c>
      <c r="AI15" s="20">
        <v>3535</v>
      </c>
      <c r="AL15" s="6"/>
      <c r="AM15" s="6"/>
      <c r="AN15" s="6"/>
    </row>
    <row r="16" spans="1:40" x14ac:dyDescent="0.25">
      <c r="A16" s="10" t="s">
        <v>154</v>
      </c>
      <c r="C16" s="1" t="s">
        <v>155</v>
      </c>
      <c r="D16" s="95">
        <v>53835</v>
      </c>
      <c r="E16" s="20" t="s">
        <v>156</v>
      </c>
      <c r="F16" s="20" t="s">
        <v>157</v>
      </c>
      <c r="G16" s="96">
        <v>0.60934299999999997</v>
      </c>
      <c r="H16" s="96">
        <f t="shared" si="3"/>
        <v>0.18753600000000001</v>
      </c>
      <c r="I16" s="99">
        <v>7.1198999999999998E-2</v>
      </c>
      <c r="J16" s="96">
        <v>0.69256059999999997</v>
      </c>
      <c r="K16" s="99">
        <v>2.57082E-2</v>
      </c>
      <c r="L16" s="99">
        <v>2.2996200000000001E-2</v>
      </c>
      <c r="M16" s="97">
        <f t="shared" si="1"/>
        <v>10096.00056</v>
      </c>
      <c r="N16" s="97">
        <f t="shared" si="2"/>
        <v>3832.998165</v>
      </c>
      <c r="O16" s="97">
        <f t="shared" si="2"/>
        <v>37283.999900999996</v>
      </c>
      <c r="P16" s="97">
        <f t="shared" si="2"/>
        <v>1384.000947</v>
      </c>
      <c r="Q16" s="97">
        <f t="shared" si="2"/>
        <v>1238.0004270000002</v>
      </c>
      <c r="R16" s="20" t="s">
        <v>70</v>
      </c>
      <c r="S16" s="20" t="s">
        <v>45</v>
      </c>
      <c r="T16" s="20" t="s">
        <v>72</v>
      </c>
      <c r="U16" s="20" t="s">
        <v>158</v>
      </c>
      <c r="V16" s="96">
        <v>0.28043099999999999</v>
      </c>
      <c r="W16" s="96">
        <v>0.1058605</v>
      </c>
      <c r="X16" s="20" t="s">
        <v>102</v>
      </c>
      <c r="Y16" s="96">
        <v>0.28682099999999999</v>
      </c>
      <c r="Z16" s="96">
        <v>0.12724099999999999</v>
      </c>
      <c r="AA16" s="20" t="s">
        <v>159</v>
      </c>
      <c r="AB16" s="96" t="s">
        <v>160</v>
      </c>
      <c r="AC16" s="96" t="s">
        <v>161</v>
      </c>
      <c r="AD16" s="20">
        <v>1041</v>
      </c>
      <c r="AE16" s="20">
        <v>684</v>
      </c>
      <c r="AF16" s="20">
        <v>505</v>
      </c>
      <c r="AG16" s="20">
        <v>338</v>
      </c>
      <c r="AH16" s="20">
        <v>380</v>
      </c>
      <c r="AI16" s="20">
        <v>1270</v>
      </c>
      <c r="AL16" s="6"/>
      <c r="AM16" s="6"/>
      <c r="AN16" s="6"/>
    </row>
    <row r="17" spans="1:40" x14ac:dyDescent="0.25">
      <c r="A17" s="10" t="s">
        <v>162</v>
      </c>
      <c r="C17" s="1" t="s">
        <v>163</v>
      </c>
      <c r="D17" s="95">
        <v>172519</v>
      </c>
      <c r="E17" s="20" t="s">
        <v>164</v>
      </c>
      <c r="F17" s="20" t="s">
        <v>119</v>
      </c>
      <c r="G17" s="96">
        <v>0.56841900000000001</v>
      </c>
      <c r="H17" s="96">
        <f t="shared" si="3"/>
        <v>0.88442419999999988</v>
      </c>
      <c r="I17" s="99">
        <v>3.2158800000000001E-2</v>
      </c>
      <c r="J17" s="99">
        <v>3.56309E-2</v>
      </c>
      <c r="K17" s="99">
        <v>1.3146400000000001E-2</v>
      </c>
      <c r="L17" s="99">
        <v>3.4639700000000002E-2</v>
      </c>
      <c r="M17" s="97">
        <f t="shared" si="1"/>
        <v>152579.97855979999</v>
      </c>
      <c r="N17" s="97">
        <f t="shared" si="2"/>
        <v>5548.0040171999999</v>
      </c>
      <c r="O17" s="97">
        <f t="shared" si="2"/>
        <v>6147.0072370999997</v>
      </c>
      <c r="P17" s="97">
        <f t="shared" si="2"/>
        <v>2268.0037815999999</v>
      </c>
      <c r="Q17" s="97">
        <f t="shared" si="2"/>
        <v>5976.0064043000002</v>
      </c>
      <c r="R17" s="20" t="s">
        <v>44</v>
      </c>
      <c r="S17" s="20" t="s">
        <v>45</v>
      </c>
      <c r="T17" s="20" t="s">
        <v>46</v>
      </c>
      <c r="U17" s="20" t="s">
        <v>165</v>
      </c>
      <c r="V17" s="96">
        <v>0.10528700000000001</v>
      </c>
      <c r="W17" s="99">
        <v>4.1224400000000001E-2</v>
      </c>
      <c r="X17" s="20" t="s">
        <v>48</v>
      </c>
      <c r="Y17" s="96">
        <v>0.29419400000000001</v>
      </c>
      <c r="Z17" s="96">
        <v>0.205925</v>
      </c>
      <c r="AA17" s="20" t="s">
        <v>132</v>
      </c>
      <c r="AB17" s="96" t="s">
        <v>166</v>
      </c>
      <c r="AC17" s="96" t="s">
        <v>51</v>
      </c>
      <c r="AD17" s="20">
        <v>4055</v>
      </c>
      <c r="AE17" s="20">
        <v>2261</v>
      </c>
      <c r="AF17" s="20">
        <v>2286</v>
      </c>
      <c r="AG17" s="20">
        <v>1033</v>
      </c>
      <c r="AH17" s="20">
        <v>1294</v>
      </c>
      <c r="AI17" s="20">
        <v>5705</v>
      </c>
      <c r="AL17" s="6"/>
      <c r="AM17" s="6"/>
      <c r="AN17" s="6"/>
    </row>
    <row r="18" spans="1:40" x14ac:dyDescent="0.25">
      <c r="A18" s="10" t="s">
        <v>167</v>
      </c>
      <c r="C18" s="1" t="s">
        <v>168</v>
      </c>
      <c r="D18" s="95">
        <v>227092</v>
      </c>
      <c r="E18" s="20" t="s">
        <v>169</v>
      </c>
      <c r="F18" s="20" t="s">
        <v>170</v>
      </c>
      <c r="G18" s="96">
        <v>0.56566499999999997</v>
      </c>
      <c r="H18" s="96">
        <f>1-I18-J18-K18-L18</f>
        <v>0.67963649999999998</v>
      </c>
      <c r="I18" s="96">
        <v>0.2025699</v>
      </c>
      <c r="J18" s="99">
        <v>2.5280500000000001E-2</v>
      </c>
      <c r="K18" s="99">
        <v>3.3493000000000002E-2</v>
      </c>
      <c r="L18" s="99">
        <v>5.9020099999999999E-2</v>
      </c>
      <c r="M18" s="97">
        <f>H18*$D18</f>
        <v>154340.01205799999</v>
      </c>
      <c r="N18" s="97">
        <f>I18*$D18</f>
        <v>46002.003730800003</v>
      </c>
      <c r="O18" s="97">
        <f>J18*$D18</f>
        <v>5740.9993060000006</v>
      </c>
      <c r="P18" s="97">
        <f>K18*$D18</f>
        <v>7605.9923560000007</v>
      </c>
      <c r="Q18" s="97">
        <f>L18*$D18</f>
        <v>13402.9925492</v>
      </c>
      <c r="R18" s="20" t="s">
        <v>44</v>
      </c>
      <c r="S18" s="20" t="s">
        <v>45</v>
      </c>
      <c r="T18" s="20" t="s">
        <v>46</v>
      </c>
      <c r="U18" s="20" t="s">
        <v>47</v>
      </c>
      <c r="V18" s="96">
        <v>0.12933500000000001</v>
      </c>
      <c r="W18" s="99">
        <v>3.7958199999999997E-2</v>
      </c>
      <c r="X18" s="20" t="s">
        <v>48</v>
      </c>
      <c r="Y18" s="96">
        <v>0.27818700000000002</v>
      </c>
      <c r="Z18" s="96">
        <v>0.150252</v>
      </c>
      <c r="AA18" s="20" t="s">
        <v>171</v>
      </c>
      <c r="AB18" s="96" t="s">
        <v>172</v>
      </c>
      <c r="AC18" s="96" t="s">
        <v>173</v>
      </c>
      <c r="AD18" s="20">
        <v>9583</v>
      </c>
      <c r="AE18" s="20">
        <v>6495</v>
      </c>
      <c r="AF18" s="20">
        <v>5243</v>
      </c>
      <c r="AG18" s="20">
        <v>4092</v>
      </c>
      <c r="AH18" s="20">
        <v>2824</v>
      </c>
      <c r="AI18" s="20">
        <v>8434</v>
      </c>
      <c r="AL18" s="6"/>
      <c r="AM18" s="6"/>
      <c r="AN18" s="6"/>
    </row>
    <row r="19" spans="1:40" x14ac:dyDescent="0.25">
      <c r="A19" s="10" t="s">
        <v>174</v>
      </c>
      <c r="C19" s="1" t="s">
        <v>175</v>
      </c>
      <c r="D19" s="95">
        <v>443351</v>
      </c>
      <c r="E19" s="20" t="s">
        <v>176</v>
      </c>
      <c r="F19" s="20" t="s">
        <v>177</v>
      </c>
      <c r="G19" s="96">
        <v>0.56961600000000001</v>
      </c>
      <c r="H19" s="96">
        <f t="shared" si="3"/>
        <v>0.76392970000000004</v>
      </c>
      <c r="I19" s="96">
        <v>0.1231643</v>
      </c>
      <c r="J19" s="99">
        <v>6.1087000000000002E-2</v>
      </c>
      <c r="K19" s="99">
        <v>1.86038E-2</v>
      </c>
      <c r="L19" s="99">
        <v>3.32152E-2</v>
      </c>
      <c r="M19" s="97">
        <f t="shared" si="1"/>
        <v>338688.99642470002</v>
      </c>
      <c r="N19" s="97">
        <f t="shared" si="2"/>
        <v>54605.015569300005</v>
      </c>
      <c r="O19" s="97">
        <f t="shared" si="2"/>
        <v>27082.982537</v>
      </c>
      <c r="P19" s="97">
        <f t="shared" si="2"/>
        <v>8248.0133337999996</v>
      </c>
      <c r="Q19" s="97">
        <f t="shared" si="2"/>
        <v>14725.9921352</v>
      </c>
      <c r="R19" s="20" t="s">
        <v>44</v>
      </c>
      <c r="S19" s="20" t="s">
        <v>45</v>
      </c>
      <c r="T19" s="20" t="s">
        <v>46</v>
      </c>
      <c r="U19" s="20" t="s">
        <v>47</v>
      </c>
      <c r="V19" s="96">
        <v>0.100803</v>
      </c>
      <c r="W19" s="99">
        <v>4.7903399999999999E-2</v>
      </c>
      <c r="X19" s="20" t="s">
        <v>113</v>
      </c>
      <c r="Y19" s="96">
        <v>0.25609700000000002</v>
      </c>
      <c r="Z19" s="96">
        <v>0.14932200000000001</v>
      </c>
      <c r="AA19" s="20" t="s">
        <v>49</v>
      </c>
      <c r="AB19" s="96" t="s">
        <v>50</v>
      </c>
      <c r="AC19" s="96" t="s">
        <v>51</v>
      </c>
      <c r="AD19" s="20">
        <v>14905</v>
      </c>
      <c r="AE19" s="20">
        <v>8538</v>
      </c>
      <c r="AF19" s="20">
        <v>9060</v>
      </c>
      <c r="AG19" s="20">
        <v>4454</v>
      </c>
      <c r="AH19" s="20">
        <v>4570</v>
      </c>
      <c r="AI19" s="20">
        <v>25459</v>
      </c>
      <c r="AL19" s="6"/>
      <c r="AM19" s="6"/>
      <c r="AN19" s="6"/>
    </row>
    <row r="20" spans="1:40" x14ac:dyDescent="0.25">
      <c r="A20" s="10" t="s">
        <v>178</v>
      </c>
      <c r="C20" s="1" t="s">
        <v>179</v>
      </c>
      <c r="D20" s="95">
        <v>109510</v>
      </c>
      <c r="E20" s="20" t="s">
        <v>180</v>
      </c>
      <c r="F20" s="20" t="s">
        <v>129</v>
      </c>
      <c r="G20" s="96">
        <v>0.54507399999999995</v>
      </c>
      <c r="H20" s="96">
        <f t="shared" si="3"/>
        <v>0.89681299999999997</v>
      </c>
      <c r="I20" s="99">
        <v>3.84988E-2</v>
      </c>
      <c r="J20" s="99">
        <v>3.50105E-2</v>
      </c>
      <c r="K20" s="103">
        <v>8.9490000000000004E-3</v>
      </c>
      <c r="L20" s="99">
        <v>2.0728699999999999E-2</v>
      </c>
      <c r="M20" s="97">
        <f t="shared" si="1"/>
        <v>98209.991630000004</v>
      </c>
      <c r="N20" s="97">
        <f t="shared" ref="N20:Q28" si="4">I20*$D20</f>
        <v>4216.0035879999996</v>
      </c>
      <c r="O20" s="97">
        <f t="shared" si="4"/>
        <v>3833.999855</v>
      </c>
      <c r="P20" s="97">
        <f t="shared" si="4"/>
        <v>980.00499000000002</v>
      </c>
      <c r="Q20" s="97">
        <f t="shared" si="4"/>
        <v>2269.999937</v>
      </c>
      <c r="R20" s="20" t="s">
        <v>44</v>
      </c>
      <c r="S20" s="20" t="s">
        <v>45</v>
      </c>
      <c r="T20" s="20" t="s">
        <v>46</v>
      </c>
      <c r="U20" s="20" t="s">
        <v>181</v>
      </c>
      <c r="V20" s="96">
        <v>0.13544900000000001</v>
      </c>
      <c r="W20" s="99">
        <v>6.7802000000000001E-2</v>
      </c>
      <c r="X20" s="20" t="s">
        <v>48</v>
      </c>
      <c r="Y20" s="96">
        <v>0.27799299999999999</v>
      </c>
      <c r="Z20" s="96">
        <v>0.168131</v>
      </c>
      <c r="AA20" s="20" t="s">
        <v>144</v>
      </c>
      <c r="AB20" s="96" t="s">
        <v>50</v>
      </c>
      <c r="AC20" s="96" t="s">
        <v>121</v>
      </c>
      <c r="AD20" s="20">
        <v>8302</v>
      </c>
      <c r="AE20" s="20">
        <v>5292</v>
      </c>
      <c r="AF20" s="20">
        <v>4805</v>
      </c>
      <c r="AG20" s="20">
        <v>2854</v>
      </c>
      <c r="AH20" s="20">
        <v>2802</v>
      </c>
      <c r="AI20" s="20">
        <v>10190</v>
      </c>
      <c r="AL20" s="6"/>
      <c r="AM20" s="6"/>
      <c r="AN20" s="6"/>
    </row>
    <row r="21" spans="1:40" x14ac:dyDescent="0.25">
      <c r="A21" s="10" t="s">
        <v>182</v>
      </c>
      <c r="C21" s="1" t="s">
        <v>183</v>
      </c>
      <c r="D21" s="95">
        <v>288625</v>
      </c>
      <c r="E21" s="20" t="s">
        <v>184</v>
      </c>
      <c r="F21" s="20" t="s">
        <v>185</v>
      </c>
      <c r="G21" s="96">
        <v>0.53149199999999996</v>
      </c>
      <c r="H21" s="96">
        <f t="shared" si="3"/>
        <v>0.90363969999999993</v>
      </c>
      <c r="I21" s="99">
        <v>2.9474199999999999E-2</v>
      </c>
      <c r="J21" s="99">
        <v>2.5080999999999999E-2</v>
      </c>
      <c r="K21" s="99">
        <v>1.5584199999999999E-2</v>
      </c>
      <c r="L21" s="99">
        <v>2.6220899999999998E-2</v>
      </c>
      <c r="M21" s="97">
        <f t="shared" si="1"/>
        <v>260813.00841249997</v>
      </c>
      <c r="N21" s="97">
        <f t="shared" si="4"/>
        <v>8506.9909750000006</v>
      </c>
      <c r="O21" s="97">
        <f t="shared" si="4"/>
        <v>7239.0036249999994</v>
      </c>
      <c r="P21" s="97">
        <f t="shared" si="4"/>
        <v>4497.9897249999995</v>
      </c>
      <c r="Q21" s="97">
        <f t="shared" si="4"/>
        <v>7568.0072624999993</v>
      </c>
      <c r="R21" s="20" t="s">
        <v>44</v>
      </c>
      <c r="S21" s="20" t="s">
        <v>131</v>
      </c>
      <c r="T21" s="20" t="s">
        <v>46</v>
      </c>
      <c r="U21" s="20" t="s">
        <v>186</v>
      </c>
      <c r="V21" s="96">
        <v>0.103854</v>
      </c>
      <c r="W21" s="99">
        <v>4.36934E-2</v>
      </c>
      <c r="X21" s="20" t="s">
        <v>48</v>
      </c>
      <c r="Y21" s="96">
        <v>0.15340999999999999</v>
      </c>
      <c r="Z21" s="99">
        <v>8.2765000000000005E-2</v>
      </c>
      <c r="AA21" s="20" t="s">
        <v>93</v>
      </c>
      <c r="AB21" s="96" t="s">
        <v>145</v>
      </c>
      <c r="AC21" s="96" t="s">
        <v>51</v>
      </c>
      <c r="AD21" s="20">
        <v>7502</v>
      </c>
      <c r="AE21" s="20">
        <v>4884</v>
      </c>
      <c r="AF21" s="20">
        <v>3848</v>
      </c>
      <c r="AG21" s="20">
        <v>2836</v>
      </c>
      <c r="AH21" s="20">
        <v>2256</v>
      </c>
      <c r="AI21" s="20">
        <v>11550</v>
      </c>
      <c r="AL21" s="6"/>
      <c r="AM21" s="6"/>
      <c r="AN21" s="6"/>
    </row>
    <row r="22" spans="1:40" x14ac:dyDescent="0.25">
      <c r="A22" s="10" t="s">
        <v>187</v>
      </c>
      <c r="C22" s="1" t="s">
        <v>175</v>
      </c>
      <c r="D22" s="95">
        <v>141928</v>
      </c>
      <c r="E22" s="20" t="s">
        <v>188</v>
      </c>
      <c r="F22" s="20" t="s">
        <v>185</v>
      </c>
      <c r="G22" s="96">
        <v>0.52256100000000005</v>
      </c>
      <c r="H22" s="96">
        <f t="shared" si="3"/>
        <v>0.87187859999999995</v>
      </c>
      <c r="I22" s="99">
        <v>1.5965799999999999E-2</v>
      </c>
      <c r="J22" s="99">
        <v>2.43786E-2</v>
      </c>
      <c r="K22" s="99">
        <v>4.9038999999999999E-2</v>
      </c>
      <c r="L22" s="99">
        <v>3.8738000000000002E-2</v>
      </c>
      <c r="M22" s="97">
        <f t="shared" si="1"/>
        <v>123743.98594079999</v>
      </c>
      <c r="N22" s="97">
        <f t="shared" si="4"/>
        <v>2265.9940623999996</v>
      </c>
      <c r="O22" s="97">
        <f t="shared" si="4"/>
        <v>3460.0059408000002</v>
      </c>
      <c r="P22" s="97">
        <f t="shared" si="4"/>
        <v>6960.007192</v>
      </c>
      <c r="Q22" s="97">
        <f t="shared" si="4"/>
        <v>5498.006864</v>
      </c>
      <c r="R22" s="20" t="s">
        <v>137</v>
      </c>
      <c r="S22" s="20" t="s">
        <v>131</v>
      </c>
      <c r="T22" s="20" t="s">
        <v>46</v>
      </c>
      <c r="U22" s="20" t="s">
        <v>189</v>
      </c>
      <c r="V22" s="99">
        <v>4.4965999999999999E-2</v>
      </c>
      <c r="W22" s="99">
        <v>2.53297E-2</v>
      </c>
      <c r="X22" s="20" t="s">
        <v>113</v>
      </c>
      <c r="Y22" s="99">
        <v>9.5957000000000001E-2</v>
      </c>
      <c r="Z22" s="99">
        <v>6.6766000000000006E-2</v>
      </c>
      <c r="AA22" s="20" t="s">
        <v>190</v>
      </c>
      <c r="AB22" s="96" t="s">
        <v>104</v>
      </c>
      <c r="AC22" s="96" t="s">
        <v>51</v>
      </c>
      <c r="AD22" s="20">
        <v>2844</v>
      </c>
      <c r="AE22" s="20">
        <v>1769</v>
      </c>
      <c r="AF22" s="20">
        <v>1585</v>
      </c>
      <c r="AG22" s="20">
        <v>1028</v>
      </c>
      <c r="AH22" s="20">
        <v>823</v>
      </c>
      <c r="AI22" s="20">
        <v>6955</v>
      </c>
      <c r="AL22" s="6"/>
      <c r="AM22" s="6"/>
      <c r="AN22" s="6"/>
    </row>
    <row r="23" spans="1:40" x14ac:dyDescent="0.25">
      <c r="A23" s="10" t="s">
        <v>191</v>
      </c>
      <c r="C23" s="1" t="s">
        <v>192</v>
      </c>
      <c r="D23" s="95">
        <v>54292</v>
      </c>
      <c r="E23" s="20" t="s">
        <v>193</v>
      </c>
      <c r="F23" s="20" t="s">
        <v>194</v>
      </c>
      <c r="G23" s="96">
        <v>0.54932599999999998</v>
      </c>
      <c r="H23" s="96">
        <f t="shared" si="3"/>
        <v>0.63335299999999994</v>
      </c>
      <c r="I23" s="96">
        <v>0.12587490000000001</v>
      </c>
      <c r="J23" s="96">
        <v>0.13280040000000001</v>
      </c>
      <c r="K23" s="99">
        <v>5.3193799999999999E-2</v>
      </c>
      <c r="L23" s="99">
        <v>5.4777899999999997E-2</v>
      </c>
      <c r="M23" s="97">
        <f t="shared" si="1"/>
        <v>34386.001076</v>
      </c>
      <c r="N23" s="97">
        <f t="shared" si="4"/>
        <v>6834.0000708000007</v>
      </c>
      <c r="O23" s="97">
        <f t="shared" si="4"/>
        <v>7209.999316800001</v>
      </c>
      <c r="P23" s="97">
        <f t="shared" si="4"/>
        <v>2887.9977896</v>
      </c>
      <c r="Q23" s="97">
        <f t="shared" si="4"/>
        <v>2974.0017467999996</v>
      </c>
      <c r="R23" s="20" t="s">
        <v>44</v>
      </c>
      <c r="S23" s="20" t="s">
        <v>45</v>
      </c>
      <c r="T23" s="20" t="s">
        <v>46</v>
      </c>
      <c r="U23" s="20" t="s">
        <v>165</v>
      </c>
      <c r="V23" s="96">
        <v>0.124954</v>
      </c>
      <c r="W23" s="99">
        <v>4.6157799999999999E-2</v>
      </c>
      <c r="X23" s="20" t="s">
        <v>48</v>
      </c>
      <c r="Y23" s="96">
        <v>0.25644699999999998</v>
      </c>
      <c r="Z23" s="96">
        <v>0.14491999999999999</v>
      </c>
      <c r="AA23" s="20" t="s">
        <v>93</v>
      </c>
      <c r="AB23" s="96" t="s">
        <v>195</v>
      </c>
      <c r="AC23" s="96" t="s">
        <v>51</v>
      </c>
      <c r="AD23" s="20">
        <v>684</v>
      </c>
      <c r="AE23" s="20">
        <v>397</v>
      </c>
      <c r="AF23" s="20">
        <v>378</v>
      </c>
      <c r="AG23" s="20">
        <v>219</v>
      </c>
      <c r="AH23" s="20">
        <v>197</v>
      </c>
      <c r="AI23" s="20">
        <v>1442</v>
      </c>
      <c r="AL23" s="6"/>
      <c r="AM23" s="6"/>
      <c r="AN23" s="6"/>
    </row>
    <row r="24" spans="1:40" x14ac:dyDescent="0.25">
      <c r="A24" s="10" t="s">
        <v>196</v>
      </c>
      <c r="C24" s="1" t="s">
        <v>192</v>
      </c>
      <c r="D24" s="95">
        <v>85044</v>
      </c>
      <c r="E24" s="20" t="s">
        <v>197</v>
      </c>
      <c r="F24" s="20" t="s">
        <v>177</v>
      </c>
      <c r="G24" s="96">
        <v>0.58594400000000002</v>
      </c>
      <c r="H24" s="96">
        <f t="shared" si="3"/>
        <v>0.75152870000000005</v>
      </c>
      <c r="I24" s="99">
        <v>5.3137200000000002E-2</v>
      </c>
      <c r="J24" s="103">
        <v>6.1850000000000004E-3</v>
      </c>
      <c r="K24" s="103">
        <v>8.0310999999999994E-3</v>
      </c>
      <c r="L24" s="99">
        <v>0.181118</v>
      </c>
      <c r="M24" s="97">
        <f t="shared" si="1"/>
        <v>63913.006762800003</v>
      </c>
      <c r="N24" s="97">
        <f t="shared" si="4"/>
        <v>4519.0000368000001</v>
      </c>
      <c r="O24" s="97">
        <f t="shared" si="4"/>
        <v>525.99714000000006</v>
      </c>
      <c r="P24" s="97">
        <f t="shared" si="4"/>
        <v>682.99686839999993</v>
      </c>
      <c r="Q24" s="97">
        <f t="shared" si="4"/>
        <v>15402.999191999999</v>
      </c>
      <c r="R24" s="20" t="s">
        <v>137</v>
      </c>
      <c r="S24" s="20" t="s">
        <v>131</v>
      </c>
      <c r="T24" s="20" t="s">
        <v>46</v>
      </c>
      <c r="U24" s="20" t="s">
        <v>47</v>
      </c>
      <c r="V24" s="96">
        <v>0.12656999999999999</v>
      </c>
      <c r="W24" s="99">
        <v>9.3986600000000003E-2</v>
      </c>
      <c r="X24" s="20" t="s">
        <v>48</v>
      </c>
      <c r="Y24" s="96">
        <v>0.27229399999999998</v>
      </c>
      <c r="Z24" s="96">
        <v>0.157389</v>
      </c>
      <c r="AA24" s="20" t="s">
        <v>152</v>
      </c>
      <c r="AB24" s="96" t="s">
        <v>198</v>
      </c>
      <c r="AC24" s="96" t="s">
        <v>199</v>
      </c>
      <c r="AD24" s="20">
        <v>1679</v>
      </c>
      <c r="AE24" s="20">
        <v>1068</v>
      </c>
      <c r="AF24" s="20">
        <v>960</v>
      </c>
      <c r="AG24" s="20">
        <v>710</v>
      </c>
      <c r="AH24" s="20">
        <v>412</v>
      </c>
      <c r="AI24" s="20">
        <v>1822</v>
      </c>
      <c r="AL24" s="6"/>
      <c r="AM24" s="6"/>
      <c r="AN24" s="6"/>
    </row>
    <row r="25" spans="1:40" x14ac:dyDescent="0.25">
      <c r="A25" s="10" t="s">
        <v>200</v>
      </c>
      <c r="C25" s="1" t="s">
        <v>175</v>
      </c>
      <c r="D25" s="95">
        <v>57631</v>
      </c>
      <c r="E25" s="20" t="s">
        <v>201</v>
      </c>
      <c r="F25" s="20" t="s">
        <v>177</v>
      </c>
      <c r="G25" s="96">
        <v>0.56655299999999997</v>
      </c>
      <c r="H25" s="96">
        <f t="shared" si="3"/>
        <v>0.92309690000000011</v>
      </c>
      <c r="I25" s="99">
        <v>1.0376399999999999E-2</v>
      </c>
      <c r="J25" s="99">
        <v>2.06486E-2</v>
      </c>
      <c r="K25" s="99">
        <v>1.14348E-2</v>
      </c>
      <c r="L25" s="99">
        <v>3.4443300000000003E-2</v>
      </c>
      <c r="M25" s="97">
        <f t="shared" si="1"/>
        <v>53198.997443900007</v>
      </c>
      <c r="N25" s="97">
        <f t="shared" si="4"/>
        <v>598.00230839999995</v>
      </c>
      <c r="O25" s="97">
        <f t="shared" si="4"/>
        <v>1189.9994666</v>
      </c>
      <c r="P25" s="97">
        <f t="shared" si="4"/>
        <v>658.99895879999997</v>
      </c>
      <c r="Q25" s="97">
        <f t="shared" si="4"/>
        <v>1985.0018223000002</v>
      </c>
      <c r="R25" s="20" t="s">
        <v>44</v>
      </c>
      <c r="S25" s="20" t="s">
        <v>45</v>
      </c>
      <c r="T25" s="20" t="s">
        <v>46</v>
      </c>
      <c r="U25" s="20" t="s">
        <v>202</v>
      </c>
      <c r="V25" s="99">
        <v>9.1217999999999994E-2</v>
      </c>
      <c r="W25" s="96">
        <v>0.24785270000000001</v>
      </c>
      <c r="X25" s="20" t="s">
        <v>48</v>
      </c>
      <c r="Y25" s="96">
        <v>0.167132</v>
      </c>
      <c r="Z25" s="96">
        <v>9.6129000000000006E-2</v>
      </c>
      <c r="AA25" s="20" t="s">
        <v>152</v>
      </c>
      <c r="AB25" s="96" t="s">
        <v>203</v>
      </c>
      <c r="AC25" s="96" t="s">
        <v>204</v>
      </c>
      <c r="AD25" s="20">
        <v>2093</v>
      </c>
      <c r="AE25" s="20">
        <v>1336</v>
      </c>
      <c r="AF25" s="20">
        <v>1179</v>
      </c>
      <c r="AG25" s="20">
        <v>731</v>
      </c>
      <c r="AH25" s="20">
        <v>675</v>
      </c>
      <c r="AI25" s="20">
        <v>3699</v>
      </c>
      <c r="AL25" s="6"/>
      <c r="AM25" s="6"/>
      <c r="AN25" s="6"/>
    </row>
    <row r="26" spans="1:40" x14ac:dyDescent="0.25">
      <c r="A26" s="10" t="s">
        <v>205</v>
      </c>
      <c r="C26" s="1" t="s">
        <v>175</v>
      </c>
      <c r="D26" s="95">
        <v>62785</v>
      </c>
      <c r="E26" s="20" t="s">
        <v>206</v>
      </c>
      <c r="F26" s="20" t="s">
        <v>43</v>
      </c>
      <c r="G26" s="96">
        <v>0.57157000000000002</v>
      </c>
      <c r="H26" s="96">
        <f t="shared" si="3"/>
        <v>0.83218919999999996</v>
      </c>
      <c r="I26" s="99">
        <v>4.2127900000000003E-2</v>
      </c>
      <c r="J26" s="99">
        <v>1.9925100000000001E-2</v>
      </c>
      <c r="K26" s="99">
        <v>1.26623E-2</v>
      </c>
      <c r="L26" s="99">
        <v>9.3095499999999998E-2</v>
      </c>
      <c r="M26" s="97">
        <f t="shared" si="1"/>
        <v>52248.998921999999</v>
      </c>
      <c r="N26" s="97">
        <f t="shared" si="4"/>
        <v>2645.0002015</v>
      </c>
      <c r="O26" s="97">
        <f t="shared" si="4"/>
        <v>1250.9974035</v>
      </c>
      <c r="P26" s="97">
        <f t="shared" si="4"/>
        <v>795.00250549999998</v>
      </c>
      <c r="Q26" s="97">
        <f t="shared" si="4"/>
        <v>5845.0009675000001</v>
      </c>
      <c r="R26" s="20" t="s">
        <v>44</v>
      </c>
      <c r="S26" s="20" t="s">
        <v>45</v>
      </c>
      <c r="T26" s="20" t="s">
        <v>59</v>
      </c>
      <c r="U26" s="20" t="s">
        <v>181</v>
      </c>
      <c r="V26" s="96">
        <v>0.1368</v>
      </c>
      <c r="W26" s="99">
        <v>1.8842100000000001E-2</v>
      </c>
      <c r="X26" s="20" t="s">
        <v>48</v>
      </c>
      <c r="Y26" s="96">
        <v>0.29943500000000001</v>
      </c>
      <c r="Z26" s="96">
        <v>0.16911699999999999</v>
      </c>
      <c r="AA26" s="20" t="s">
        <v>207</v>
      </c>
      <c r="AB26" s="96" t="s">
        <v>50</v>
      </c>
      <c r="AC26" s="96" t="s">
        <v>208</v>
      </c>
      <c r="AD26" s="20">
        <v>3143</v>
      </c>
      <c r="AE26" s="20">
        <v>1987</v>
      </c>
      <c r="AF26" s="20">
        <v>1855</v>
      </c>
      <c r="AG26" s="20">
        <v>1118</v>
      </c>
      <c r="AH26" s="20">
        <v>1005</v>
      </c>
      <c r="AI26" s="20">
        <v>5035</v>
      </c>
      <c r="AL26" s="6"/>
      <c r="AM26" s="6"/>
      <c r="AN26" s="6"/>
    </row>
    <row r="27" spans="1:40" x14ac:dyDescent="0.25">
      <c r="A27" s="10" t="s">
        <v>209</v>
      </c>
      <c r="C27" s="1" t="s">
        <v>210</v>
      </c>
      <c r="D27" s="95">
        <v>101430</v>
      </c>
      <c r="E27" s="20" t="s">
        <v>211</v>
      </c>
      <c r="F27" s="20" t="s">
        <v>212</v>
      </c>
      <c r="G27" s="96">
        <v>0.55783300000000002</v>
      </c>
      <c r="H27" s="96">
        <f t="shared" si="3"/>
        <v>0.80041419999999996</v>
      </c>
      <c r="I27" s="99">
        <v>3.6005099999999998E-2</v>
      </c>
      <c r="J27" s="99">
        <v>3.3836100000000001E-2</v>
      </c>
      <c r="K27" s="99">
        <v>4.6376800000000003E-2</v>
      </c>
      <c r="L27" s="99">
        <v>8.3367800000000006E-2</v>
      </c>
      <c r="M27" s="97">
        <f t="shared" si="1"/>
        <v>81186.01230599999</v>
      </c>
      <c r="N27" s="97">
        <f t="shared" si="4"/>
        <v>3651.9972929999999</v>
      </c>
      <c r="O27" s="97">
        <f t="shared" si="4"/>
        <v>3431.9956230000003</v>
      </c>
      <c r="P27" s="97">
        <f t="shared" si="4"/>
        <v>4703.9988240000002</v>
      </c>
      <c r="Q27" s="97">
        <f t="shared" si="4"/>
        <v>8455.995954</v>
      </c>
      <c r="R27" s="20" t="s">
        <v>213</v>
      </c>
      <c r="S27" s="20" t="s">
        <v>45</v>
      </c>
      <c r="T27" s="20" t="s">
        <v>46</v>
      </c>
      <c r="U27" s="20" t="s">
        <v>214</v>
      </c>
      <c r="V27" s="99">
        <v>8.9214000000000002E-2</v>
      </c>
      <c r="W27" s="96">
        <v>0.2461303</v>
      </c>
      <c r="X27" s="20" t="s">
        <v>113</v>
      </c>
      <c r="Y27" s="96">
        <v>0.22146299999999999</v>
      </c>
      <c r="Z27" s="96">
        <v>0.15975500000000001</v>
      </c>
      <c r="AA27" s="20" t="s">
        <v>215</v>
      </c>
      <c r="AB27" s="96" t="s">
        <v>216</v>
      </c>
      <c r="AC27" s="96" t="s">
        <v>51</v>
      </c>
      <c r="AD27" s="20">
        <v>4350</v>
      </c>
      <c r="AE27" s="20">
        <v>2788</v>
      </c>
      <c r="AF27" s="20">
        <v>2364</v>
      </c>
      <c r="AG27" s="20">
        <v>1429</v>
      </c>
      <c r="AH27" s="20">
        <v>1525</v>
      </c>
      <c r="AI27" s="20">
        <v>8583</v>
      </c>
      <c r="AL27" s="6"/>
      <c r="AM27" s="6"/>
      <c r="AN27" s="6"/>
    </row>
    <row r="28" spans="1:40" x14ac:dyDescent="0.25">
      <c r="A28" s="10" t="s">
        <v>217</v>
      </c>
      <c r="C28" s="1" t="s">
        <v>218</v>
      </c>
      <c r="D28" s="95">
        <v>109704</v>
      </c>
      <c r="E28" s="20" t="s">
        <v>219</v>
      </c>
      <c r="F28" s="20" t="s">
        <v>194</v>
      </c>
      <c r="G28" s="96">
        <v>0.566743</v>
      </c>
      <c r="H28" s="96">
        <f t="shared" si="3"/>
        <v>0.79583240000000011</v>
      </c>
      <c r="I28" s="99">
        <v>0.1075895</v>
      </c>
      <c r="J28" s="99">
        <v>2.1266299999999998E-2</v>
      </c>
      <c r="K28" s="99">
        <v>3.3991500000000001E-2</v>
      </c>
      <c r="L28" s="99">
        <v>4.1320299999999997E-2</v>
      </c>
      <c r="M28" s="97">
        <f t="shared" si="1"/>
        <v>87305.997609600017</v>
      </c>
      <c r="N28" s="97">
        <f t="shared" si="4"/>
        <v>11802.998508000001</v>
      </c>
      <c r="O28" s="97">
        <f t="shared" si="4"/>
        <v>2332.9981751999999</v>
      </c>
      <c r="P28" s="97">
        <f t="shared" si="4"/>
        <v>3729.0035160000002</v>
      </c>
      <c r="Q28" s="97">
        <f t="shared" si="4"/>
        <v>4533.0021911999993</v>
      </c>
      <c r="R28" s="20" t="s">
        <v>44</v>
      </c>
      <c r="S28" s="20" t="s">
        <v>45</v>
      </c>
      <c r="T28" s="20" t="s">
        <v>46</v>
      </c>
      <c r="U28" s="20" t="s">
        <v>165</v>
      </c>
      <c r="V28" s="96">
        <v>0.125693</v>
      </c>
      <c r="W28" s="99">
        <v>2.6115699999999999E-2</v>
      </c>
      <c r="X28" s="20" t="s">
        <v>48</v>
      </c>
      <c r="Y28" s="96">
        <v>0.23545199999999999</v>
      </c>
      <c r="Z28" s="96">
        <v>0.118628</v>
      </c>
      <c r="AA28" s="20" t="s">
        <v>220</v>
      </c>
      <c r="AB28" s="96" t="s">
        <v>221</v>
      </c>
      <c r="AC28" s="96" t="s">
        <v>146</v>
      </c>
      <c r="AD28" s="20">
        <v>2534</v>
      </c>
      <c r="AE28" s="20">
        <v>1666</v>
      </c>
      <c r="AF28" s="20">
        <v>1286</v>
      </c>
      <c r="AG28" s="20">
        <v>1016</v>
      </c>
      <c r="AH28" s="20">
        <v>730</v>
      </c>
      <c r="AI28" s="20">
        <v>2834</v>
      </c>
      <c r="AL28" s="6"/>
      <c r="AM28" s="6"/>
      <c r="AN28" s="6"/>
    </row>
    <row r="29" spans="1:40" x14ac:dyDescent="0.25">
      <c r="A29" s="15" t="s">
        <v>222</v>
      </c>
      <c r="D29" s="104">
        <f>SUM(D30:D51)</f>
        <v>3330085</v>
      </c>
      <c r="E29" s="123" t="s">
        <v>188</v>
      </c>
      <c r="F29" s="123" t="s">
        <v>223</v>
      </c>
      <c r="G29" s="93">
        <v>0.57446269999999999</v>
      </c>
      <c r="H29" s="93">
        <f>M29/$D29</f>
        <v>0.79047320671298171</v>
      </c>
      <c r="I29" s="94">
        <f>N29/$D29</f>
        <v>9.3530295068173938E-2</v>
      </c>
      <c r="J29" s="94">
        <f>O29/$D29</f>
        <v>3.9721156038689698E-2</v>
      </c>
      <c r="K29" s="94">
        <f>P29/$D29</f>
        <v>2.4609091576641443E-2</v>
      </c>
      <c r="L29" s="94">
        <f>Q29/$D29</f>
        <v>5.1666192106507788E-2</v>
      </c>
      <c r="M29" s="105">
        <f>SUM(M30:M50)</f>
        <v>2632342.9685767996</v>
      </c>
      <c r="N29" s="105">
        <f>SUM(N30:N50)</f>
        <v>311463.83265210001</v>
      </c>
      <c r="O29" s="105">
        <f>SUM(O30:O50)</f>
        <v>132274.82590709999</v>
      </c>
      <c r="P29" s="105">
        <f>SUM(P30:P50)</f>
        <v>81950.366723000014</v>
      </c>
      <c r="Q29" s="105">
        <f>SUM(Q30:Q50)</f>
        <v>172052.81134099999</v>
      </c>
      <c r="R29" s="123" t="s">
        <v>44</v>
      </c>
      <c r="S29" s="123" t="s">
        <v>45</v>
      </c>
      <c r="T29" s="123" t="s">
        <v>46</v>
      </c>
      <c r="U29" s="123" t="s">
        <v>47</v>
      </c>
      <c r="V29" s="93">
        <v>0.12</v>
      </c>
      <c r="W29" s="94">
        <v>4.8000000000000001E-2</v>
      </c>
      <c r="X29" s="123" t="s">
        <v>48</v>
      </c>
      <c r="Y29" s="93">
        <v>0.26</v>
      </c>
      <c r="Z29" s="93">
        <v>0.15</v>
      </c>
      <c r="AA29" s="123" t="s">
        <v>49</v>
      </c>
      <c r="AB29" s="93" t="s">
        <v>224</v>
      </c>
      <c r="AC29" s="93" t="s">
        <v>225</v>
      </c>
      <c r="AD29" s="115">
        <f t="shared" ref="AD29:AI29" si="5">SUM(AD30:AD51)</f>
        <v>104854</v>
      </c>
      <c r="AE29" s="115">
        <f t="shared" si="5"/>
        <v>67902</v>
      </c>
      <c r="AF29" s="115">
        <f>SUM(AF30:AF51)</f>
        <v>55966</v>
      </c>
      <c r="AG29" s="115">
        <f t="shared" si="5"/>
        <v>36890</v>
      </c>
      <c r="AH29" s="115">
        <f t="shared" si="5"/>
        <v>34836</v>
      </c>
      <c r="AI29" s="115">
        <f t="shared" si="5"/>
        <v>159339</v>
      </c>
      <c r="AL29" s="6"/>
      <c r="AM29" s="6"/>
      <c r="AN29" s="6"/>
    </row>
    <row r="30" spans="1:40" x14ac:dyDescent="0.25">
      <c r="A30" s="1" t="s">
        <v>226</v>
      </c>
      <c r="B30" s="1">
        <v>1</v>
      </c>
      <c r="C30" s="1" t="s">
        <v>227</v>
      </c>
      <c r="D30" s="106">
        <v>1948</v>
      </c>
      <c r="E30" s="20" t="s">
        <v>228</v>
      </c>
      <c r="F30" s="20" t="s">
        <v>229</v>
      </c>
      <c r="G30" s="96">
        <v>0.44455899999999998</v>
      </c>
      <c r="H30" s="96">
        <v>0.45610000000000001</v>
      </c>
      <c r="I30" s="96">
        <v>0.36120000000000002</v>
      </c>
      <c r="J30" s="96">
        <v>0.13750000000000001</v>
      </c>
      <c r="K30" s="96">
        <v>0</v>
      </c>
      <c r="L30" s="99">
        <v>4.5100000000000001E-2</v>
      </c>
      <c r="M30" s="97">
        <f>H30*$D30</f>
        <v>888.4828</v>
      </c>
      <c r="N30" s="97">
        <f t="shared" ref="N30" si="6">I30*$D30</f>
        <v>703.61760000000004</v>
      </c>
      <c r="O30" s="97">
        <f t="shared" ref="O30" si="7">J30*$D30</f>
        <v>267.85000000000002</v>
      </c>
      <c r="P30" s="97">
        <f t="shared" ref="P30" si="8">K30*$D30</f>
        <v>0</v>
      </c>
      <c r="Q30" s="97">
        <f t="shared" ref="Q30" si="9">L30*$D30</f>
        <v>87.854799999999997</v>
      </c>
      <c r="R30" s="20" t="s">
        <v>230</v>
      </c>
      <c r="S30" s="20" t="s">
        <v>231</v>
      </c>
      <c r="T30" s="20" t="s">
        <v>59</v>
      </c>
      <c r="U30" s="20" t="s">
        <v>232</v>
      </c>
      <c r="V30" s="96">
        <v>0.36601600000000001</v>
      </c>
      <c r="W30" s="96">
        <v>0.11396299999999999</v>
      </c>
      <c r="X30" s="20" t="s">
        <v>102</v>
      </c>
      <c r="Y30" s="96">
        <v>0.86755599999999999</v>
      </c>
      <c r="Z30" s="96">
        <v>0.45</v>
      </c>
      <c r="AA30" s="20" t="s">
        <v>233</v>
      </c>
      <c r="AB30" s="101" t="s">
        <v>63</v>
      </c>
      <c r="AC30" s="96" t="s">
        <v>234</v>
      </c>
      <c r="AD30" s="44">
        <v>468</v>
      </c>
      <c r="AE30" s="44">
        <v>275</v>
      </c>
      <c r="AF30" s="44">
        <v>308</v>
      </c>
      <c r="AG30" s="44">
        <v>197</v>
      </c>
      <c r="AH30" s="44">
        <v>95</v>
      </c>
      <c r="AI30" s="20">
        <v>662</v>
      </c>
      <c r="AJ30" s="1"/>
      <c r="AL30" s="9"/>
      <c r="AM30" s="6"/>
      <c r="AN30" s="6"/>
    </row>
    <row r="31" spans="1:40" x14ac:dyDescent="0.25">
      <c r="A31" s="10" t="s">
        <v>235</v>
      </c>
      <c r="B31" s="1">
        <v>1</v>
      </c>
      <c r="C31" s="1" t="s">
        <v>236</v>
      </c>
      <c r="D31" s="106">
        <v>1053</v>
      </c>
      <c r="E31" s="20" t="s">
        <v>237</v>
      </c>
      <c r="F31" s="20" t="s">
        <v>238</v>
      </c>
      <c r="G31" s="96">
        <v>0.63342799999999999</v>
      </c>
      <c r="H31" s="96">
        <v>0.99109999999999998</v>
      </c>
      <c r="I31" s="96">
        <v>0</v>
      </c>
      <c r="J31" s="96">
        <v>0</v>
      </c>
      <c r="K31" s="103">
        <v>8.8999999999999999E-3</v>
      </c>
      <c r="L31" s="96">
        <v>0</v>
      </c>
      <c r="M31" s="97">
        <f t="shared" ref="M31:M50" si="10">H31*$D31</f>
        <v>1043.6283000000001</v>
      </c>
      <c r="N31" s="97">
        <f t="shared" ref="N31:N50" si="11">I31*$D31</f>
        <v>0</v>
      </c>
      <c r="O31" s="97">
        <f t="shared" ref="O31:O50" si="12">J31*$D31</f>
        <v>0</v>
      </c>
      <c r="P31" s="97">
        <f t="shared" ref="P31:P50" si="13">K31*$D31</f>
        <v>9.3717000000000006</v>
      </c>
      <c r="Q31" s="97">
        <f t="shared" ref="Q31:Q50" si="14">L31*$D31</f>
        <v>0</v>
      </c>
      <c r="R31" s="20" t="s">
        <v>239</v>
      </c>
      <c r="S31" s="20" t="s">
        <v>82</v>
      </c>
      <c r="T31" s="20" t="s">
        <v>240</v>
      </c>
      <c r="U31" s="20" t="s">
        <v>241</v>
      </c>
      <c r="V31" s="99">
        <v>3.6087000000000001E-2</v>
      </c>
      <c r="W31" s="99">
        <v>8.73694E-2</v>
      </c>
      <c r="X31" s="20" t="s">
        <v>242</v>
      </c>
      <c r="Y31" s="96">
        <v>0.32858500000000002</v>
      </c>
      <c r="Z31" s="99">
        <v>8.9269000000000001E-2</v>
      </c>
      <c r="AA31" s="20" t="s">
        <v>243</v>
      </c>
      <c r="AB31" s="44" t="s">
        <v>63</v>
      </c>
      <c r="AC31" s="20" t="s">
        <v>244</v>
      </c>
      <c r="AD31" s="20">
        <v>195</v>
      </c>
      <c r="AE31" s="20">
        <v>156</v>
      </c>
      <c r="AF31" s="20">
        <v>58</v>
      </c>
      <c r="AG31" s="20">
        <v>68</v>
      </c>
      <c r="AH31" s="20">
        <v>101</v>
      </c>
      <c r="AI31" s="20">
        <v>462</v>
      </c>
      <c r="AL31" s="7"/>
      <c r="AM31" s="6"/>
      <c r="AN31" s="6"/>
    </row>
    <row r="32" spans="1:40" x14ac:dyDescent="0.25">
      <c r="A32" s="1" t="s">
        <v>245</v>
      </c>
      <c r="B32" s="1">
        <v>3</v>
      </c>
      <c r="C32" s="1" t="s">
        <v>227</v>
      </c>
      <c r="D32" s="106">
        <v>17980</v>
      </c>
      <c r="E32" s="44" t="s">
        <v>246</v>
      </c>
      <c r="F32" s="20" t="s">
        <v>247</v>
      </c>
      <c r="G32" s="96">
        <v>0.56904500000000002</v>
      </c>
      <c r="H32" s="96">
        <v>0.59909999999999997</v>
      </c>
      <c r="I32" s="96">
        <v>0.40089999999999998</v>
      </c>
      <c r="J32" s="96">
        <v>0</v>
      </c>
      <c r="K32" s="96">
        <v>0</v>
      </c>
      <c r="L32" s="96">
        <v>0</v>
      </c>
      <c r="M32" s="97">
        <f>H32*$D32</f>
        <v>10771.817999999999</v>
      </c>
      <c r="N32" s="97">
        <f>I32*$D32</f>
        <v>7208.1819999999998</v>
      </c>
      <c r="O32" s="97">
        <f>J32*$D32</f>
        <v>0</v>
      </c>
      <c r="P32" s="97">
        <f>K32*$D32</f>
        <v>0</v>
      </c>
      <c r="Q32" s="97">
        <f>L32*$D32</f>
        <v>0</v>
      </c>
      <c r="R32" s="20" t="s">
        <v>99</v>
      </c>
      <c r="S32" s="20" t="s">
        <v>111</v>
      </c>
      <c r="T32" s="20" t="s">
        <v>46</v>
      </c>
      <c r="U32" s="20" t="s">
        <v>165</v>
      </c>
      <c r="V32" s="96">
        <v>0.158834</v>
      </c>
      <c r="W32" s="96">
        <v>0.1462099</v>
      </c>
      <c r="X32" s="20" t="s">
        <v>48</v>
      </c>
      <c r="Y32" s="101">
        <v>0.50392099999999995</v>
      </c>
      <c r="Z32" s="101">
        <v>0.240365</v>
      </c>
      <c r="AA32" s="20" t="s">
        <v>248</v>
      </c>
      <c r="AB32" s="20" t="s">
        <v>249</v>
      </c>
      <c r="AC32" s="20" t="s">
        <v>250</v>
      </c>
      <c r="AD32" s="20">
        <v>2419</v>
      </c>
      <c r="AE32" s="20">
        <v>2041</v>
      </c>
      <c r="AF32" s="20">
        <v>726</v>
      </c>
      <c r="AG32" s="20">
        <v>942</v>
      </c>
      <c r="AH32" s="20">
        <v>1025</v>
      </c>
      <c r="AI32" s="20">
        <v>5022</v>
      </c>
      <c r="AJ32" s="1"/>
      <c r="AL32" s="17"/>
      <c r="AM32" s="74"/>
      <c r="AN32" s="6"/>
    </row>
    <row r="33" spans="1:40" x14ac:dyDescent="0.25">
      <c r="A33" s="1" t="s">
        <v>251</v>
      </c>
      <c r="C33" s="1" t="s">
        <v>210</v>
      </c>
      <c r="D33" s="106">
        <v>10356</v>
      </c>
      <c r="E33" s="20" t="s">
        <v>252</v>
      </c>
      <c r="F33" s="20" t="s">
        <v>253</v>
      </c>
      <c r="G33" s="96">
        <v>0.67680600000000002</v>
      </c>
      <c r="H33" s="96">
        <f>1-I33-J33-K33-L33</f>
        <v>0.93935879999999994</v>
      </c>
      <c r="I33" s="99">
        <v>2.06643E-2</v>
      </c>
      <c r="J33" s="99">
        <v>1.29394E-2</v>
      </c>
      <c r="K33" s="99">
        <v>1.8346899999999999E-2</v>
      </c>
      <c r="L33" s="103">
        <v>8.6905999999999997E-3</v>
      </c>
      <c r="M33" s="97">
        <f t="shared" si="10"/>
        <v>9727.999732799999</v>
      </c>
      <c r="N33" s="97">
        <f t="shared" si="11"/>
        <v>213.99949079999999</v>
      </c>
      <c r="O33" s="97">
        <f t="shared" si="12"/>
        <v>134.00042640000001</v>
      </c>
      <c r="P33" s="97">
        <f t="shared" si="13"/>
        <v>190.0004964</v>
      </c>
      <c r="Q33" s="97">
        <f t="shared" si="14"/>
        <v>89.999853599999994</v>
      </c>
      <c r="R33" s="20" t="s">
        <v>44</v>
      </c>
      <c r="S33" s="20" t="s">
        <v>45</v>
      </c>
      <c r="T33" s="20" t="s">
        <v>46</v>
      </c>
      <c r="U33" s="20" t="s">
        <v>151</v>
      </c>
      <c r="V33" s="99">
        <v>7.6381000000000004E-2</v>
      </c>
      <c r="W33" s="99">
        <v>7.5125499999999998E-2</v>
      </c>
      <c r="X33" s="20" t="s">
        <v>48</v>
      </c>
      <c r="Y33" s="96">
        <v>0.16106599999999999</v>
      </c>
      <c r="Z33" s="99">
        <v>8.5167999999999994E-2</v>
      </c>
      <c r="AA33" s="20" t="s">
        <v>152</v>
      </c>
      <c r="AB33" s="20" t="s">
        <v>195</v>
      </c>
      <c r="AC33" s="20" t="s">
        <v>51</v>
      </c>
      <c r="AD33" s="20">
        <v>176</v>
      </c>
      <c r="AE33" s="20">
        <v>129</v>
      </c>
      <c r="AF33" s="20">
        <v>72</v>
      </c>
      <c r="AG33" s="20">
        <v>70</v>
      </c>
      <c r="AH33" s="20">
        <v>67</v>
      </c>
      <c r="AI33" s="20">
        <v>426</v>
      </c>
      <c r="AL33" s="6"/>
      <c r="AM33" s="6"/>
      <c r="AN33" s="6"/>
    </row>
    <row r="34" spans="1:40" x14ac:dyDescent="0.25">
      <c r="A34" s="1" t="s">
        <v>254</v>
      </c>
      <c r="C34" s="1" t="s">
        <v>255</v>
      </c>
      <c r="D34" s="106">
        <v>70669</v>
      </c>
      <c r="E34" s="20" t="s">
        <v>256</v>
      </c>
      <c r="F34" s="20" t="s">
        <v>257</v>
      </c>
      <c r="G34" s="96">
        <v>0.59644299999999995</v>
      </c>
      <c r="H34" s="96">
        <f t="shared" ref="H34:H50" si="15">1-I34-J34-K34-L34</f>
        <v>0.62198419999999988</v>
      </c>
      <c r="I34" s="96">
        <v>0.21702579999999999</v>
      </c>
      <c r="J34" s="99">
        <v>1.56787E-2</v>
      </c>
      <c r="K34" s="99">
        <v>1.9088999999999998E-2</v>
      </c>
      <c r="L34" s="96">
        <v>0.12622230000000001</v>
      </c>
      <c r="M34" s="97">
        <f t="shared" si="10"/>
        <v>43955.001429799988</v>
      </c>
      <c r="N34" s="97">
        <f t="shared" si="11"/>
        <v>15336.9962602</v>
      </c>
      <c r="O34" s="97">
        <f t="shared" si="12"/>
        <v>1107.9980502999999</v>
      </c>
      <c r="P34" s="97">
        <f t="shared" si="13"/>
        <v>1349.0005409999999</v>
      </c>
      <c r="Q34" s="97">
        <f t="shared" si="14"/>
        <v>8920.0037186999998</v>
      </c>
      <c r="R34" s="20" t="s">
        <v>137</v>
      </c>
      <c r="S34" s="20" t="s">
        <v>131</v>
      </c>
      <c r="T34" s="20" t="s">
        <v>46</v>
      </c>
      <c r="U34" s="20" t="s">
        <v>181</v>
      </c>
      <c r="V34" s="96">
        <v>0.14291999999999999</v>
      </c>
      <c r="W34" s="99">
        <v>3.63384E-2</v>
      </c>
      <c r="X34" s="20" t="s">
        <v>48</v>
      </c>
      <c r="Y34" s="96">
        <v>0.36537900000000001</v>
      </c>
      <c r="Z34" s="96">
        <v>0.211337</v>
      </c>
      <c r="AA34" s="20" t="s">
        <v>258</v>
      </c>
      <c r="AB34" s="20" t="s">
        <v>259</v>
      </c>
      <c r="AC34" s="20" t="s">
        <v>260</v>
      </c>
      <c r="AD34" s="20">
        <v>2650</v>
      </c>
      <c r="AE34" s="20">
        <v>1618</v>
      </c>
      <c r="AF34" s="20">
        <v>1455</v>
      </c>
      <c r="AG34" s="20">
        <v>745</v>
      </c>
      <c r="AH34" s="20">
        <v>958</v>
      </c>
      <c r="AI34" s="20">
        <v>4475</v>
      </c>
      <c r="AL34" s="6"/>
      <c r="AM34" s="6"/>
      <c r="AN34" s="6"/>
    </row>
    <row r="35" spans="1:40" x14ac:dyDescent="0.25">
      <c r="A35" s="1" t="s">
        <v>261</v>
      </c>
      <c r="C35" s="1" t="s">
        <v>262</v>
      </c>
      <c r="D35" s="106">
        <v>33214</v>
      </c>
      <c r="E35" s="20" t="s">
        <v>263</v>
      </c>
      <c r="F35" s="20" t="s">
        <v>264</v>
      </c>
      <c r="G35" s="96">
        <v>0.59872300000000001</v>
      </c>
      <c r="H35" s="96">
        <f t="shared" si="15"/>
        <v>0.82916840000000003</v>
      </c>
      <c r="I35" s="99">
        <v>8.8938400000000001E-2</v>
      </c>
      <c r="J35" s="99">
        <v>3.51659E-2</v>
      </c>
      <c r="K35" s="99">
        <v>1.46926E-2</v>
      </c>
      <c r="L35" s="99">
        <v>3.2034699999999999E-2</v>
      </c>
      <c r="M35" s="97">
        <f t="shared" si="10"/>
        <v>27539.999237600001</v>
      </c>
      <c r="N35" s="97">
        <f t="shared" si="11"/>
        <v>2954.0000175999999</v>
      </c>
      <c r="O35" s="97">
        <f t="shared" si="12"/>
        <v>1168.0002026</v>
      </c>
      <c r="P35" s="97">
        <f t="shared" si="13"/>
        <v>488.00001639999999</v>
      </c>
      <c r="Q35" s="97">
        <f t="shared" si="14"/>
        <v>1064.0005257999999</v>
      </c>
      <c r="R35" s="20" t="s">
        <v>44</v>
      </c>
      <c r="S35" s="20" t="s">
        <v>45</v>
      </c>
      <c r="T35" s="20" t="s">
        <v>46</v>
      </c>
      <c r="U35" s="20" t="s">
        <v>101</v>
      </c>
      <c r="V35" s="96">
        <v>0.133438</v>
      </c>
      <c r="W35" s="99">
        <v>4.7540199999999998E-2</v>
      </c>
      <c r="X35" s="20" t="s">
        <v>48</v>
      </c>
      <c r="Y35" s="96">
        <v>0.27003700000000003</v>
      </c>
      <c r="Z35" s="96">
        <v>0.150479</v>
      </c>
      <c r="AA35" s="20" t="s">
        <v>265</v>
      </c>
      <c r="AB35" s="20" t="s">
        <v>266</v>
      </c>
      <c r="AC35" s="20" t="s">
        <v>51</v>
      </c>
      <c r="AD35" s="20">
        <v>282</v>
      </c>
      <c r="AE35" s="20">
        <v>193</v>
      </c>
      <c r="AF35" s="20">
        <v>118</v>
      </c>
      <c r="AG35" s="20">
        <v>94</v>
      </c>
      <c r="AH35" s="20">
        <v>102</v>
      </c>
      <c r="AI35" s="20">
        <v>731</v>
      </c>
      <c r="AL35" s="6"/>
      <c r="AM35" s="6"/>
      <c r="AN35" s="6"/>
    </row>
    <row r="36" spans="1:40" x14ac:dyDescent="0.25">
      <c r="A36" s="1" t="s">
        <v>267</v>
      </c>
      <c r="C36" s="1" t="s">
        <v>123</v>
      </c>
      <c r="D36" s="106">
        <v>132583</v>
      </c>
      <c r="E36" s="20" t="s">
        <v>268</v>
      </c>
      <c r="F36" s="20" t="s">
        <v>177</v>
      </c>
      <c r="G36" s="96">
        <v>0.56923599999999996</v>
      </c>
      <c r="H36" s="96">
        <f t="shared" si="15"/>
        <v>0.79529050000000001</v>
      </c>
      <c r="I36" s="99">
        <v>2.8593400000000001E-2</v>
      </c>
      <c r="J36" s="99">
        <v>6.0799699999999998E-2</v>
      </c>
      <c r="K36" s="99">
        <v>3.06751E-2</v>
      </c>
      <c r="L36" s="99">
        <v>8.4641300000000003E-2</v>
      </c>
      <c r="M36" s="97">
        <f t="shared" si="10"/>
        <v>105442.0003615</v>
      </c>
      <c r="N36" s="97">
        <f t="shared" si="11"/>
        <v>3790.9987522000001</v>
      </c>
      <c r="O36" s="97">
        <f t="shared" si="12"/>
        <v>8061.0066250999998</v>
      </c>
      <c r="P36" s="97">
        <f t="shared" si="13"/>
        <v>4066.9967833000001</v>
      </c>
      <c r="Q36" s="97">
        <f t="shared" si="14"/>
        <v>11221.9974779</v>
      </c>
      <c r="R36" s="20" t="s">
        <v>130</v>
      </c>
      <c r="S36" s="20" t="s">
        <v>45</v>
      </c>
      <c r="T36" s="20" t="s">
        <v>240</v>
      </c>
      <c r="U36" s="20" t="s">
        <v>269</v>
      </c>
      <c r="V36" s="99">
        <v>8.8865E-2</v>
      </c>
      <c r="W36" s="99">
        <v>1.4933999999999999E-2</v>
      </c>
      <c r="X36" s="20" t="s">
        <v>113</v>
      </c>
      <c r="Y36" s="96">
        <v>0.210842</v>
      </c>
      <c r="Z36" s="96">
        <v>0.15351899999999999</v>
      </c>
      <c r="AA36" s="20" t="s">
        <v>265</v>
      </c>
      <c r="AB36" s="20" t="s">
        <v>270</v>
      </c>
      <c r="AC36" s="20" t="s">
        <v>51</v>
      </c>
      <c r="AD36" s="20">
        <v>1357</v>
      </c>
      <c r="AE36" s="20">
        <v>796</v>
      </c>
      <c r="AF36" s="20">
        <v>706</v>
      </c>
      <c r="AG36" s="20">
        <v>352</v>
      </c>
      <c r="AH36" s="20">
        <v>469</v>
      </c>
      <c r="AI36" s="20">
        <v>4392</v>
      </c>
      <c r="AL36" s="6"/>
      <c r="AM36" s="6"/>
      <c r="AN36" s="6"/>
    </row>
    <row r="37" spans="1:40" x14ac:dyDescent="0.25">
      <c r="A37" s="1" t="s">
        <v>271</v>
      </c>
      <c r="C37" s="1" t="s">
        <v>210</v>
      </c>
      <c r="D37" s="106">
        <v>569383</v>
      </c>
      <c r="E37" s="20" t="s">
        <v>272</v>
      </c>
      <c r="F37" s="20" t="s">
        <v>273</v>
      </c>
      <c r="G37" s="96">
        <v>0.567021</v>
      </c>
      <c r="H37" s="96">
        <f t="shared" si="15"/>
        <v>0.87426919999999997</v>
      </c>
      <c r="I37" s="99">
        <v>4.7879900000000003E-2</v>
      </c>
      <c r="J37" s="99">
        <v>2.9927100000000002E-2</v>
      </c>
      <c r="K37" s="99">
        <v>1.6820000000000002E-2</v>
      </c>
      <c r="L37" s="99">
        <v>3.1103800000000001E-2</v>
      </c>
      <c r="M37" s="97">
        <f t="shared" si="10"/>
        <v>497794.01990359998</v>
      </c>
      <c r="N37" s="97">
        <f t="shared" si="11"/>
        <v>27262.001101700003</v>
      </c>
      <c r="O37" s="97">
        <f t="shared" si="12"/>
        <v>17039.981979300002</v>
      </c>
      <c r="P37" s="97">
        <f t="shared" si="13"/>
        <v>9577.0220600000011</v>
      </c>
      <c r="Q37" s="97">
        <f t="shared" si="14"/>
        <v>17709.974955400001</v>
      </c>
      <c r="R37" s="20" t="s">
        <v>44</v>
      </c>
      <c r="S37" s="20" t="s">
        <v>131</v>
      </c>
      <c r="T37" s="20" t="s">
        <v>46</v>
      </c>
      <c r="U37" s="20" t="s">
        <v>165</v>
      </c>
      <c r="V37" s="96">
        <v>0.111774</v>
      </c>
      <c r="W37" s="99">
        <v>5.2088000000000002E-2</v>
      </c>
      <c r="X37" s="20" t="s">
        <v>48</v>
      </c>
      <c r="Y37" s="96">
        <v>0.28961300000000001</v>
      </c>
      <c r="Z37" s="96">
        <v>0.142591</v>
      </c>
      <c r="AA37" s="20" t="s">
        <v>190</v>
      </c>
      <c r="AB37" s="20" t="s">
        <v>198</v>
      </c>
      <c r="AC37" s="20" t="s">
        <v>274</v>
      </c>
      <c r="AD37" s="20">
        <v>21093</v>
      </c>
      <c r="AE37" s="20">
        <v>13549</v>
      </c>
      <c r="AF37" s="20">
        <v>11041</v>
      </c>
      <c r="AG37" s="20">
        <v>6936</v>
      </c>
      <c r="AH37" s="20">
        <v>7331</v>
      </c>
      <c r="AI37" s="20">
        <v>30796</v>
      </c>
      <c r="AL37" s="6"/>
      <c r="AM37" s="6"/>
      <c r="AN37" s="6"/>
    </row>
    <row r="38" spans="1:40" x14ac:dyDescent="0.25">
      <c r="A38" s="1" t="s">
        <v>275</v>
      </c>
      <c r="C38" s="1" t="s">
        <v>163</v>
      </c>
      <c r="D38" s="106">
        <v>332600</v>
      </c>
      <c r="E38" s="20" t="s">
        <v>276</v>
      </c>
      <c r="F38" s="20" t="s">
        <v>273</v>
      </c>
      <c r="G38" s="96">
        <v>0.58401400000000003</v>
      </c>
      <c r="H38" s="96">
        <f t="shared" si="15"/>
        <v>0.71581470000000003</v>
      </c>
      <c r="I38" s="99">
        <v>0.16876430000000001</v>
      </c>
      <c r="J38" s="99">
        <v>3.0983199999999999E-2</v>
      </c>
      <c r="K38" s="99">
        <v>1.5081199999999999E-2</v>
      </c>
      <c r="L38" s="99">
        <v>6.9356600000000004E-2</v>
      </c>
      <c r="M38" s="97">
        <f t="shared" si="10"/>
        <v>238079.96922</v>
      </c>
      <c r="N38" s="97">
        <f t="shared" si="11"/>
        <v>56131.006180000004</v>
      </c>
      <c r="O38" s="97">
        <f t="shared" si="12"/>
        <v>10305.01232</v>
      </c>
      <c r="P38" s="97">
        <f t="shared" si="13"/>
        <v>5016.0071200000002</v>
      </c>
      <c r="Q38" s="97">
        <f t="shared" si="14"/>
        <v>23068.005160000001</v>
      </c>
      <c r="R38" s="20" t="s">
        <v>44</v>
      </c>
      <c r="S38" s="20" t="s">
        <v>45</v>
      </c>
      <c r="T38" s="20" t="s">
        <v>46</v>
      </c>
      <c r="U38" s="20" t="s">
        <v>189</v>
      </c>
      <c r="V38" s="96">
        <v>0.12767899999999999</v>
      </c>
      <c r="W38" s="99">
        <v>5.6058299999999998E-2</v>
      </c>
      <c r="X38" s="20" t="s">
        <v>48</v>
      </c>
      <c r="Y38" s="96">
        <v>0.28983799999999998</v>
      </c>
      <c r="Z38" s="96">
        <v>0.16095000000000001</v>
      </c>
      <c r="AA38" s="20" t="s">
        <v>277</v>
      </c>
      <c r="AB38" s="20" t="s">
        <v>198</v>
      </c>
      <c r="AC38" s="20" t="s">
        <v>51</v>
      </c>
      <c r="AD38" s="20">
        <v>7717</v>
      </c>
      <c r="AE38" s="20">
        <v>4759</v>
      </c>
      <c r="AF38" s="20">
        <v>4025</v>
      </c>
      <c r="AG38" s="20">
        <v>2017</v>
      </c>
      <c r="AH38" s="20">
        <v>2933</v>
      </c>
      <c r="AI38" s="20">
        <v>12224</v>
      </c>
      <c r="AL38" s="6"/>
      <c r="AM38" s="6"/>
      <c r="AN38" s="6"/>
    </row>
    <row r="39" spans="1:40" x14ac:dyDescent="0.25">
      <c r="A39" s="1" t="s">
        <v>278</v>
      </c>
      <c r="C39" s="1" t="s">
        <v>210</v>
      </c>
      <c r="D39" s="106">
        <v>82367</v>
      </c>
      <c r="E39" s="20" t="s">
        <v>279</v>
      </c>
      <c r="F39" s="20" t="s">
        <v>280</v>
      </c>
      <c r="G39" s="96">
        <v>0.58769899999999997</v>
      </c>
      <c r="H39" s="96">
        <f t="shared" si="15"/>
        <v>0.84121060000000003</v>
      </c>
      <c r="I39" s="99">
        <v>5.8263599999999999E-2</v>
      </c>
      <c r="J39" s="99">
        <v>6.0449000000000003E-2</v>
      </c>
      <c r="K39" s="99">
        <v>1.2492899999999999E-2</v>
      </c>
      <c r="L39" s="99">
        <v>2.7583900000000001E-2</v>
      </c>
      <c r="M39" s="97">
        <f t="shared" si="10"/>
        <v>69287.99349020001</v>
      </c>
      <c r="N39" s="97">
        <f t="shared" si="11"/>
        <v>4798.9979412000002</v>
      </c>
      <c r="O39" s="97">
        <f t="shared" si="12"/>
        <v>4979.0027829999999</v>
      </c>
      <c r="P39" s="97">
        <f t="shared" si="13"/>
        <v>1029.0026943</v>
      </c>
      <c r="Q39" s="97">
        <f t="shared" si="14"/>
        <v>2272.0030913000001</v>
      </c>
      <c r="R39" s="20" t="s">
        <v>44</v>
      </c>
      <c r="S39" s="20" t="s">
        <v>45</v>
      </c>
      <c r="T39" s="20" t="s">
        <v>59</v>
      </c>
      <c r="U39" s="20" t="s">
        <v>281</v>
      </c>
      <c r="V39" s="96">
        <v>0.130356</v>
      </c>
      <c r="W39" s="99">
        <v>2.07E-2</v>
      </c>
      <c r="X39" s="20" t="s">
        <v>48</v>
      </c>
      <c r="Y39" s="96">
        <v>0.36621500000000001</v>
      </c>
      <c r="Z39" s="96">
        <v>0.25312299999999999</v>
      </c>
      <c r="AA39" s="20" t="s">
        <v>282</v>
      </c>
      <c r="AB39" s="20" t="s">
        <v>283</v>
      </c>
      <c r="AC39" s="20" t="s">
        <v>51</v>
      </c>
      <c r="AD39" s="20">
        <v>6642</v>
      </c>
      <c r="AE39" s="20">
        <v>4393</v>
      </c>
      <c r="AF39" s="20">
        <v>3609</v>
      </c>
      <c r="AG39" s="20">
        <v>2342</v>
      </c>
      <c r="AH39" s="20">
        <v>2404</v>
      </c>
      <c r="AI39" s="20">
        <v>10286</v>
      </c>
      <c r="AL39" s="6"/>
      <c r="AM39" s="6"/>
      <c r="AN39" s="6"/>
    </row>
    <row r="40" spans="1:40" x14ac:dyDescent="0.25">
      <c r="A40" s="1" t="s">
        <v>284</v>
      </c>
      <c r="C40" s="1" t="s">
        <v>210</v>
      </c>
      <c r="D40" s="106">
        <v>112487</v>
      </c>
      <c r="E40" s="20" t="s">
        <v>285</v>
      </c>
      <c r="F40" s="20" t="s">
        <v>253</v>
      </c>
      <c r="G40" s="96">
        <v>0.54930800000000002</v>
      </c>
      <c r="H40" s="96">
        <f t="shared" si="15"/>
        <v>0.79859009999999997</v>
      </c>
      <c r="I40" s="99">
        <v>4.2547099999999997E-2</v>
      </c>
      <c r="J40" s="99">
        <v>7.8106800000000004E-2</v>
      </c>
      <c r="K40" s="99">
        <v>4.3587300000000002E-2</v>
      </c>
      <c r="L40" s="99">
        <v>3.7168699999999999E-2</v>
      </c>
      <c r="M40" s="97">
        <f t="shared" si="10"/>
        <v>89831.004578699998</v>
      </c>
      <c r="N40" s="97">
        <f t="shared" si="11"/>
        <v>4785.9956376999999</v>
      </c>
      <c r="O40" s="97">
        <f t="shared" si="12"/>
        <v>8785.9996116000002</v>
      </c>
      <c r="P40" s="97">
        <f t="shared" si="13"/>
        <v>4903.0046151000006</v>
      </c>
      <c r="Q40" s="97">
        <f t="shared" si="14"/>
        <v>4180.9955568999994</v>
      </c>
      <c r="R40" s="20" t="s">
        <v>44</v>
      </c>
      <c r="S40" s="20" t="s">
        <v>131</v>
      </c>
      <c r="T40" s="20" t="s">
        <v>46</v>
      </c>
      <c r="U40" s="20" t="s">
        <v>47</v>
      </c>
      <c r="V40" s="99">
        <v>8.1768999999999994E-2</v>
      </c>
      <c r="W40" s="99">
        <v>3.3674999999999997E-2</v>
      </c>
      <c r="X40" s="20" t="s">
        <v>48</v>
      </c>
      <c r="Y40" s="96">
        <v>0.126664</v>
      </c>
      <c r="Z40" s="99">
        <v>6.7163E-2</v>
      </c>
      <c r="AA40" s="20" t="s">
        <v>265</v>
      </c>
      <c r="AB40" s="20" t="s">
        <v>286</v>
      </c>
      <c r="AC40" s="20" t="s">
        <v>51</v>
      </c>
      <c r="AD40" s="20">
        <v>4684</v>
      </c>
      <c r="AE40" s="20">
        <v>3239</v>
      </c>
      <c r="AF40" s="20">
        <v>2405</v>
      </c>
      <c r="AG40" s="20">
        <v>1898</v>
      </c>
      <c r="AH40" s="20">
        <v>1578</v>
      </c>
      <c r="AI40" s="20">
        <v>6809</v>
      </c>
      <c r="AL40" s="6"/>
      <c r="AM40" s="6"/>
      <c r="AN40" s="6"/>
    </row>
    <row r="41" spans="1:40" x14ac:dyDescent="0.25">
      <c r="A41" s="1" t="s">
        <v>287</v>
      </c>
      <c r="C41" s="1" t="s">
        <v>255</v>
      </c>
      <c r="D41" s="106">
        <v>285469</v>
      </c>
      <c r="E41" s="20" t="s">
        <v>288</v>
      </c>
      <c r="F41" s="20" t="s">
        <v>43</v>
      </c>
      <c r="G41" s="96">
        <v>0.55133799999999999</v>
      </c>
      <c r="H41" s="96">
        <f t="shared" si="15"/>
        <v>0.85459720000000006</v>
      </c>
      <c r="I41" s="99">
        <v>7.5748999999999997E-2</v>
      </c>
      <c r="J41" s="99">
        <v>1.5707499999999999E-2</v>
      </c>
      <c r="K41" s="99">
        <v>1.40015E-2</v>
      </c>
      <c r="L41" s="99">
        <v>3.9944800000000003E-2</v>
      </c>
      <c r="M41" s="97">
        <f t="shared" si="10"/>
        <v>243961.00808680002</v>
      </c>
      <c r="N41" s="97">
        <f t="shared" si="11"/>
        <v>21623.991280999999</v>
      </c>
      <c r="O41" s="97">
        <f t="shared" si="12"/>
        <v>4484.0043175000001</v>
      </c>
      <c r="P41" s="97">
        <f t="shared" si="13"/>
        <v>3996.9942034999999</v>
      </c>
      <c r="Q41" s="97">
        <f t="shared" si="14"/>
        <v>11403.002111200001</v>
      </c>
      <c r="R41" s="20" t="s">
        <v>137</v>
      </c>
      <c r="S41" s="20" t="s">
        <v>131</v>
      </c>
      <c r="T41" s="20" t="s">
        <v>46</v>
      </c>
      <c r="U41" s="20" t="s">
        <v>47</v>
      </c>
      <c r="V41" s="96">
        <v>0.117729</v>
      </c>
      <c r="W41" s="99">
        <v>4.9308299999999999E-2</v>
      </c>
      <c r="X41" s="20" t="s">
        <v>48</v>
      </c>
      <c r="Y41" s="96">
        <v>0.30235200000000001</v>
      </c>
      <c r="Z41" s="96">
        <v>0.17685300000000001</v>
      </c>
      <c r="AA41" s="20" t="s">
        <v>289</v>
      </c>
      <c r="AB41" s="20" t="s">
        <v>145</v>
      </c>
      <c r="AC41" s="20" t="s">
        <v>51</v>
      </c>
      <c r="AD41" s="20">
        <v>10831</v>
      </c>
      <c r="AE41" s="20">
        <v>6811</v>
      </c>
      <c r="AF41" s="20">
        <v>6041</v>
      </c>
      <c r="AG41" s="20">
        <v>3604</v>
      </c>
      <c r="AH41" s="20">
        <v>3609</v>
      </c>
      <c r="AI41" s="20">
        <v>15916</v>
      </c>
      <c r="AL41" s="6"/>
      <c r="AM41" s="6"/>
      <c r="AN41" s="6"/>
    </row>
    <row r="42" spans="1:40" x14ac:dyDescent="0.25">
      <c r="A42" s="1" t="s">
        <v>290</v>
      </c>
      <c r="C42" s="1" t="s">
        <v>175</v>
      </c>
      <c r="D42" s="106">
        <v>82144</v>
      </c>
      <c r="E42" s="20" t="s">
        <v>291</v>
      </c>
      <c r="F42" s="20" t="s">
        <v>292</v>
      </c>
      <c r="G42" s="96">
        <v>0.51874799999999999</v>
      </c>
      <c r="H42" s="96">
        <f t="shared" si="15"/>
        <v>0.85459679999999993</v>
      </c>
      <c r="I42" s="99">
        <v>5.63279E-2</v>
      </c>
      <c r="J42" s="99">
        <v>1.30381E-2</v>
      </c>
      <c r="K42" s="99">
        <v>3.2723000000000002E-2</v>
      </c>
      <c r="L42" s="99">
        <v>4.3314199999999997E-2</v>
      </c>
      <c r="M42" s="97">
        <f t="shared" si="10"/>
        <v>70199.999539199998</v>
      </c>
      <c r="N42" s="97">
        <f t="shared" si="11"/>
        <v>4626.9990176000001</v>
      </c>
      <c r="O42" s="97">
        <f t="shared" si="12"/>
        <v>1071.0016863999999</v>
      </c>
      <c r="P42" s="97">
        <f t="shared" si="13"/>
        <v>2687.9981120000002</v>
      </c>
      <c r="Q42" s="97">
        <f t="shared" si="14"/>
        <v>3558.0016447999997</v>
      </c>
      <c r="R42" s="20" t="s">
        <v>137</v>
      </c>
      <c r="S42" s="20" t="s">
        <v>131</v>
      </c>
      <c r="T42" s="20" t="s">
        <v>46</v>
      </c>
      <c r="U42" s="20" t="s">
        <v>47</v>
      </c>
      <c r="V42" s="96">
        <v>0.11111</v>
      </c>
      <c r="W42" s="99">
        <v>7.3358999999999994E-2</v>
      </c>
      <c r="X42" s="20" t="s">
        <v>48</v>
      </c>
      <c r="Y42" s="96">
        <v>0.33489999999999998</v>
      </c>
      <c r="Z42" s="96">
        <v>0.20866999999999999</v>
      </c>
      <c r="AA42" s="20" t="s">
        <v>125</v>
      </c>
      <c r="AB42" s="20" t="s">
        <v>50</v>
      </c>
      <c r="AC42" s="20" t="s">
        <v>51</v>
      </c>
      <c r="AD42" s="20">
        <v>2471</v>
      </c>
      <c r="AE42" s="20">
        <v>1617</v>
      </c>
      <c r="AF42" s="20">
        <v>1266</v>
      </c>
      <c r="AG42" s="20">
        <v>863</v>
      </c>
      <c r="AH42" s="20">
        <v>833</v>
      </c>
      <c r="AI42" s="20">
        <v>4766</v>
      </c>
      <c r="AL42" s="6"/>
      <c r="AM42" s="6"/>
      <c r="AN42" s="6"/>
    </row>
    <row r="43" spans="1:40" x14ac:dyDescent="0.25">
      <c r="A43" s="1" t="s">
        <v>293</v>
      </c>
      <c r="C43" s="1" t="s">
        <v>294</v>
      </c>
      <c r="D43" s="106">
        <v>229733</v>
      </c>
      <c r="E43" s="20" t="s">
        <v>295</v>
      </c>
      <c r="F43" s="20" t="s">
        <v>296</v>
      </c>
      <c r="G43" s="96">
        <v>0.60477199999999998</v>
      </c>
      <c r="H43" s="96">
        <f>1-I43-J43-K43-L43</f>
        <v>0.6534238</v>
      </c>
      <c r="I43" s="96">
        <v>0.11425440000000001</v>
      </c>
      <c r="J43" s="99">
        <v>2.8715899999999999E-2</v>
      </c>
      <c r="K43" s="99">
        <v>5.6700599999999997E-2</v>
      </c>
      <c r="L43" s="96">
        <v>0.14690529999999999</v>
      </c>
      <c r="M43" s="97">
        <f>H43*$D43</f>
        <v>150113.0098454</v>
      </c>
      <c r="N43" s="97">
        <f>I43*$D43</f>
        <v>26248.006075200003</v>
      </c>
      <c r="O43" s="97">
        <f>J43*$D43</f>
        <v>6596.9898546999993</v>
      </c>
      <c r="P43" s="97">
        <f>K43*$D43</f>
        <v>13025.9989398</v>
      </c>
      <c r="Q43" s="97">
        <f>L43*$D43</f>
        <v>33748.995284899996</v>
      </c>
      <c r="R43" s="20" t="s">
        <v>44</v>
      </c>
      <c r="S43" s="20" t="s">
        <v>297</v>
      </c>
      <c r="T43" s="20" t="s">
        <v>240</v>
      </c>
      <c r="U43" s="20" t="s">
        <v>298</v>
      </c>
      <c r="V43" s="96">
        <v>0.105035</v>
      </c>
      <c r="W43" s="99">
        <v>2.3153E-2</v>
      </c>
      <c r="X43" s="20" t="s">
        <v>74</v>
      </c>
      <c r="Y43" s="96">
        <v>0.19531799999999999</v>
      </c>
      <c r="Z43" s="96">
        <v>0.12529799999999999</v>
      </c>
      <c r="AA43" s="20" t="s">
        <v>93</v>
      </c>
      <c r="AB43" s="20" t="s">
        <v>104</v>
      </c>
      <c r="AC43" s="20" t="s">
        <v>51</v>
      </c>
      <c r="AD43" s="20">
        <v>3355</v>
      </c>
      <c r="AE43" s="20">
        <v>2459</v>
      </c>
      <c r="AF43" s="20">
        <v>1572</v>
      </c>
      <c r="AG43" s="20">
        <v>1857</v>
      </c>
      <c r="AH43" s="20">
        <v>793</v>
      </c>
      <c r="AI43" s="20">
        <v>3019</v>
      </c>
      <c r="AL43" s="6"/>
      <c r="AM43" s="6"/>
      <c r="AN43" s="6"/>
    </row>
    <row r="44" spans="1:40" x14ac:dyDescent="0.25">
      <c r="A44" s="1" t="s">
        <v>299</v>
      </c>
      <c r="C44" s="1" t="s">
        <v>300</v>
      </c>
      <c r="D44" s="106">
        <v>37726</v>
      </c>
      <c r="E44" s="20" t="s">
        <v>301</v>
      </c>
      <c r="F44" s="20" t="s">
        <v>170</v>
      </c>
      <c r="G44" s="96">
        <v>0.61986399999999997</v>
      </c>
      <c r="H44" s="96">
        <f t="shared" si="15"/>
        <v>0.76379680000000005</v>
      </c>
      <c r="I44" s="99">
        <v>6.7804699999999996E-2</v>
      </c>
      <c r="J44" s="99">
        <v>0.1145364</v>
      </c>
      <c r="K44" s="99">
        <v>1.1344999999999999E-2</v>
      </c>
      <c r="L44" s="99">
        <v>4.2517100000000002E-2</v>
      </c>
      <c r="M44" s="97">
        <f t="shared" si="10"/>
        <v>28814.998076800002</v>
      </c>
      <c r="N44" s="97">
        <f t="shared" si="11"/>
        <v>2558.0001121999999</v>
      </c>
      <c r="O44" s="97">
        <f t="shared" si="12"/>
        <v>4321.0002263999995</v>
      </c>
      <c r="P44" s="97">
        <f t="shared" si="13"/>
        <v>428.00146999999998</v>
      </c>
      <c r="Q44" s="97">
        <f t="shared" si="14"/>
        <v>1604.0001146000002</v>
      </c>
      <c r="R44" s="20" t="s">
        <v>44</v>
      </c>
      <c r="S44" s="20" t="s">
        <v>45</v>
      </c>
      <c r="T44" s="20" t="s">
        <v>46</v>
      </c>
      <c r="U44" s="20" t="s">
        <v>47</v>
      </c>
      <c r="V44" s="96">
        <v>0.130494</v>
      </c>
      <c r="W44" s="99">
        <v>6.4464800000000003E-2</v>
      </c>
      <c r="X44" s="20" t="s">
        <v>48</v>
      </c>
      <c r="Y44" s="96">
        <v>0.14767</v>
      </c>
      <c r="Z44" s="99">
        <v>7.8592999999999996E-2</v>
      </c>
      <c r="AA44" s="20" t="s">
        <v>302</v>
      </c>
      <c r="AB44" s="20" t="s">
        <v>172</v>
      </c>
      <c r="AC44" s="20" t="s">
        <v>51</v>
      </c>
      <c r="AD44" s="20">
        <v>828</v>
      </c>
      <c r="AE44" s="20">
        <v>614</v>
      </c>
      <c r="AF44" s="20">
        <v>349</v>
      </c>
      <c r="AG44" s="20">
        <v>340</v>
      </c>
      <c r="AH44" s="20">
        <v>309</v>
      </c>
      <c r="AI44" s="20">
        <v>1304</v>
      </c>
      <c r="AL44" s="6"/>
      <c r="AM44" s="6"/>
      <c r="AN44" s="6"/>
    </row>
    <row r="45" spans="1:40" x14ac:dyDescent="0.25">
      <c r="A45" s="1" t="s">
        <v>303</v>
      </c>
      <c r="C45" s="1" t="s">
        <v>168</v>
      </c>
      <c r="D45" s="106">
        <v>114453</v>
      </c>
      <c r="E45" s="20" t="s">
        <v>304</v>
      </c>
      <c r="F45" s="20" t="s">
        <v>119</v>
      </c>
      <c r="G45" s="96">
        <v>0.57480399999999998</v>
      </c>
      <c r="H45" s="96">
        <f t="shared" si="15"/>
        <v>0.79881690000000005</v>
      </c>
      <c r="I45" s="99">
        <v>2.26032E-2</v>
      </c>
      <c r="J45" s="99">
        <v>9.4781299999999999E-2</v>
      </c>
      <c r="K45" s="99">
        <v>1.39883E-2</v>
      </c>
      <c r="L45" s="99">
        <v>6.9810300000000006E-2</v>
      </c>
      <c r="M45" s="97">
        <f t="shared" si="10"/>
        <v>91426.990655700007</v>
      </c>
      <c r="N45" s="97">
        <f t="shared" si="11"/>
        <v>2587.0040496000001</v>
      </c>
      <c r="O45" s="97">
        <f t="shared" si="12"/>
        <v>10848.0041289</v>
      </c>
      <c r="P45" s="97">
        <f t="shared" si="13"/>
        <v>1601.0028999000001</v>
      </c>
      <c r="Q45" s="97">
        <f t="shared" si="14"/>
        <v>7989.9982659000007</v>
      </c>
      <c r="R45" s="20" t="s">
        <v>44</v>
      </c>
      <c r="S45" s="20" t="s">
        <v>45</v>
      </c>
      <c r="T45" s="20" t="s">
        <v>46</v>
      </c>
      <c r="U45" s="20" t="s">
        <v>47</v>
      </c>
      <c r="V45" s="96">
        <v>0.118529</v>
      </c>
      <c r="W45" s="99">
        <v>7.1304400000000004E-2</v>
      </c>
      <c r="X45" s="20" t="s">
        <v>48</v>
      </c>
      <c r="Y45" s="96">
        <v>0.25654199999999999</v>
      </c>
      <c r="Z45" s="96">
        <v>0.143596</v>
      </c>
      <c r="AA45" s="20" t="s">
        <v>305</v>
      </c>
      <c r="AB45" s="20" t="s">
        <v>224</v>
      </c>
      <c r="AC45" s="20" t="s">
        <v>199</v>
      </c>
      <c r="AD45" s="20">
        <v>3102</v>
      </c>
      <c r="AE45" s="20">
        <v>1765</v>
      </c>
      <c r="AF45" s="20">
        <v>1834</v>
      </c>
      <c r="AG45" s="20">
        <v>1018</v>
      </c>
      <c r="AH45" s="20">
        <v>830</v>
      </c>
      <c r="AI45" s="20">
        <v>4321</v>
      </c>
      <c r="AL45" s="6"/>
      <c r="AM45" s="6"/>
      <c r="AN45" s="6"/>
    </row>
    <row r="46" spans="1:40" x14ac:dyDescent="0.25">
      <c r="A46" s="1" t="s">
        <v>306</v>
      </c>
      <c r="C46" s="1" t="s">
        <v>307</v>
      </c>
      <c r="D46" s="106">
        <v>96943</v>
      </c>
      <c r="E46" s="20" t="s">
        <v>308</v>
      </c>
      <c r="F46" s="20" t="s">
        <v>170</v>
      </c>
      <c r="G46" s="96">
        <v>0.60084800000000005</v>
      </c>
      <c r="H46" s="96">
        <f t="shared" si="15"/>
        <v>0.88003260000000005</v>
      </c>
      <c r="I46" s="107">
        <v>6.5770599999999999E-2</v>
      </c>
      <c r="J46" s="107">
        <v>3.5649800000000002E-2</v>
      </c>
      <c r="K46" s="103">
        <v>7.1795000000000001E-3</v>
      </c>
      <c r="L46" s="99">
        <v>1.1367499999999999E-2</v>
      </c>
      <c r="M46" s="97">
        <f t="shared" si="10"/>
        <v>85313.000341800012</v>
      </c>
      <c r="N46" s="97">
        <f t="shared" si="11"/>
        <v>6375.9992757999999</v>
      </c>
      <c r="O46" s="97">
        <f t="shared" si="12"/>
        <v>3455.9985614000002</v>
      </c>
      <c r="P46" s="97">
        <f t="shared" si="13"/>
        <v>696.00226850000001</v>
      </c>
      <c r="Q46" s="97">
        <f t="shared" si="14"/>
        <v>1101.9995524999999</v>
      </c>
      <c r="R46" s="20" t="s">
        <v>309</v>
      </c>
      <c r="S46" s="20" t="s">
        <v>45</v>
      </c>
      <c r="T46" s="20" t="s">
        <v>59</v>
      </c>
      <c r="U46" s="20" t="s">
        <v>310</v>
      </c>
      <c r="V46" s="96">
        <v>0.10440199999999999</v>
      </c>
      <c r="W46" s="99">
        <v>5.0772100000000001E-2</v>
      </c>
      <c r="X46" s="20" t="s">
        <v>102</v>
      </c>
      <c r="Y46" s="96">
        <v>0.133934</v>
      </c>
      <c r="Z46" s="99">
        <v>6.2881999999999993E-2</v>
      </c>
      <c r="AA46" s="20" t="s">
        <v>190</v>
      </c>
      <c r="AB46" s="20" t="s">
        <v>50</v>
      </c>
      <c r="AC46" s="20" t="s">
        <v>51</v>
      </c>
      <c r="AD46" s="20">
        <v>2957</v>
      </c>
      <c r="AE46" s="20">
        <v>1878</v>
      </c>
      <c r="AF46" s="20">
        <v>1659</v>
      </c>
      <c r="AG46" s="20">
        <v>1099</v>
      </c>
      <c r="AH46" s="20">
        <v>866</v>
      </c>
      <c r="AI46" s="20">
        <v>2835</v>
      </c>
      <c r="AL46" s="6"/>
      <c r="AM46" s="6"/>
      <c r="AN46" s="6"/>
    </row>
    <row r="47" spans="1:40" x14ac:dyDescent="0.25">
      <c r="A47" s="1" t="s">
        <v>311</v>
      </c>
      <c r="C47" s="1" t="s">
        <v>294</v>
      </c>
      <c r="D47" s="106">
        <v>70521</v>
      </c>
      <c r="E47" s="20" t="s">
        <v>312</v>
      </c>
      <c r="F47" s="20" t="s">
        <v>43</v>
      </c>
      <c r="G47" s="96">
        <v>0.58419500000000002</v>
      </c>
      <c r="H47" s="96">
        <f t="shared" si="15"/>
        <v>0.46238709999999988</v>
      </c>
      <c r="I47" s="96">
        <v>0.27128089999999999</v>
      </c>
      <c r="J47" s="96">
        <v>0.198409</v>
      </c>
      <c r="K47" s="99">
        <v>4.1165E-2</v>
      </c>
      <c r="L47" s="99">
        <v>2.6758000000000001E-2</v>
      </c>
      <c r="M47" s="97">
        <f t="shared" si="10"/>
        <v>32608.000679099991</v>
      </c>
      <c r="N47" s="97">
        <f t="shared" si="11"/>
        <v>19131.000348900001</v>
      </c>
      <c r="O47" s="97">
        <f t="shared" si="12"/>
        <v>13992.001088999999</v>
      </c>
      <c r="P47" s="97">
        <f t="shared" si="13"/>
        <v>2902.9969649999998</v>
      </c>
      <c r="Q47" s="97">
        <f t="shared" si="14"/>
        <v>1887.000918</v>
      </c>
      <c r="R47" s="20" t="s">
        <v>44</v>
      </c>
      <c r="S47" s="20" t="s">
        <v>45</v>
      </c>
      <c r="T47" s="20" t="s">
        <v>46</v>
      </c>
      <c r="U47" s="20" t="s">
        <v>165</v>
      </c>
      <c r="V47" s="96">
        <v>0.16400799999999999</v>
      </c>
      <c r="W47" s="99">
        <v>5.8280499999999999E-2</v>
      </c>
      <c r="X47" s="20" t="s">
        <v>48</v>
      </c>
      <c r="Y47" s="96">
        <v>0.298124</v>
      </c>
      <c r="Z47" s="96">
        <v>0.17430300000000001</v>
      </c>
      <c r="AA47" s="20" t="s">
        <v>258</v>
      </c>
      <c r="AB47" s="20" t="s">
        <v>224</v>
      </c>
      <c r="AC47" s="20" t="s">
        <v>173</v>
      </c>
      <c r="AD47" s="20">
        <v>4213</v>
      </c>
      <c r="AE47" s="20">
        <v>2773</v>
      </c>
      <c r="AF47" s="20">
        <v>2498</v>
      </c>
      <c r="AG47" s="20">
        <v>1676</v>
      </c>
      <c r="AH47" s="20">
        <v>1360</v>
      </c>
      <c r="AI47" s="20">
        <v>5114</v>
      </c>
      <c r="AL47" s="6"/>
      <c r="AM47" s="6"/>
      <c r="AN47" s="6"/>
    </row>
    <row r="48" spans="1:40" x14ac:dyDescent="0.25">
      <c r="A48" s="1" t="s">
        <v>313</v>
      </c>
      <c r="C48" s="1" t="s">
        <v>210</v>
      </c>
      <c r="D48" s="106">
        <v>185799</v>
      </c>
      <c r="E48" s="20" t="s">
        <v>314</v>
      </c>
      <c r="F48" s="20" t="s">
        <v>194</v>
      </c>
      <c r="G48" s="96">
        <v>0.53323799999999999</v>
      </c>
      <c r="H48" s="96">
        <f t="shared" si="15"/>
        <v>0.78057480000000001</v>
      </c>
      <c r="I48" s="99">
        <v>1.8487699999999999E-2</v>
      </c>
      <c r="J48" s="99">
        <v>3.1453299999999997E-2</v>
      </c>
      <c r="K48" s="99">
        <v>6.0118699999999997E-2</v>
      </c>
      <c r="L48" s="96">
        <v>0.1093655</v>
      </c>
      <c r="M48" s="97">
        <f t="shared" si="10"/>
        <v>145030.0172652</v>
      </c>
      <c r="N48" s="97">
        <f t="shared" si="11"/>
        <v>3434.9961722999997</v>
      </c>
      <c r="O48" s="97">
        <f t="shared" si="12"/>
        <v>5843.9916866999993</v>
      </c>
      <c r="P48" s="97">
        <f t="shared" si="13"/>
        <v>11169.9943413</v>
      </c>
      <c r="Q48" s="97">
        <f t="shared" si="14"/>
        <v>20320.000534499999</v>
      </c>
      <c r="R48" s="20" t="s">
        <v>110</v>
      </c>
      <c r="S48" s="20" t="s">
        <v>315</v>
      </c>
      <c r="T48" s="20" t="s">
        <v>46</v>
      </c>
      <c r="U48" s="20" t="s">
        <v>202</v>
      </c>
      <c r="V48" s="99">
        <v>7.9532000000000005E-2</v>
      </c>
      <c r="W48" s="99">
        <v>2.7976500000000001E-2</v>
      </c>
      <c r="X48" s="20" t="s">
        <v>113</v>
      </c>
      <c r="Y48" s="96">
        <v>0.19531299999999999</v>
      </c>
      <c r="Z48" s="96">
        <v>0.114968</v>
      </c>
      <c r="AA48" s="20" t="s">
        <v>302</v>
      </c>
      <c r="AB48" s="20" t="s">
        <v>316</v>
      </c>
      <c r="AC48" s="20" t="s">
        <v>199</v>
      </c>
      <c r="AD48" s="20">
        <v>2101</v>
      </c>
      <c r="AE48" s="20">
        <v>1516</v>
      </c>
      <c r="AF48" s="20">
        <v>914</v>
      </c>
      <c r="AG48" s="20">
        <v>1144</v>
      </c>
      <c r="AH48" s="20">
        <v>435</v>
      </c>
      <c r="AI48" s="20">
        <v>7833</v>
      </c>
      <c r="AL48" s="6"/>
      <c r="AM48" s="6"/>
      <c r="AN48" s="6"/>
    </row>
    <row r="49" spans="1:40" x14ac:dyDescent="0.25">
      <c r="A49" s="1" t="s">
        <v>317</v>
      </c>
      <c r="C49" s="1" t="s">
        <v>318</v>
      </c>
      <c r="D49" s="106">
        <v>101997</v>
      </c>
      <c r="E49" s="20" t="s">
        <v>319</v>
      </c>
      <c r="F49" s="20" t="s">
        <v>320</v>
      </c>
      <c r="G49" s="96">
        <v>0.54595700000000003</v>
      </c>
      <c r="H49" s="96">
        <f t="shared" si="15"/>
        <v>0.87171179999999993</v>
      </c>
      <c r="I49" s="99">
        <v>6.5335299999999999E-2</v>
      </c>
      <c r="J49" s="103">
        <v>8.7454000000000004E-3</v>
      </c>
      <c r="K49" s="99">
        <v>1.0392500000000001E-2</v>
      </c>
      <c r="L49" s="99">
        <v>4.3815E-2</v>
      </c>
      <c r="M49" s="97">
        <f t="shared" si="10"/>
        <v>88911.988464599999</v>
      </c>
      <c r="N49" s="97">
        <f t="shared" si="11"/>
        <v>6664.0045940999998</v>
      </c>
      <c r="O49" s="97">
        <f t="shared" si="12"/>
        <v>892.00456380000003</v>
      </c>
      <c r="P49" s="97">
        <f t="shared" si="13"/>
        <v>1060.0038225000001</v>
      </c>
      <c r="Q49" s="97">
        <f t="shared" si="14"/>
        <v>4468.9985550000001</v>
      </c>
      <c r="R49" s="20" t="s">
        <v>44</v>
      </c>
      <c r="S49" s="20" t="s">
        <v>45</v>
      </c>
      <c r="T49" s="20" t="s">
        <v>46</v>
      </c>
      <c r="U49" s="20" t="s">
        <v>321</v>
      </c>
      <c r="V49" s="96">
        <v>0.16409299999999999</v>
      </c>
      <c r="W49" s="99">
        <v>3.1677400000000001E-2</v>
      </c>
      <c r="X49" s="20" t="s">
        <v>102</v>
      </c>
      <c r="Y49" s="96">
        <v>0.240066</v>
      </c>
      <c r="Z49" s="96">
        <v>0.29299900000000001</v>
      </c>
      <c r="AA49" s="20" t="s">
        <v>125</v>
      </c>
      <c r="AB49" s="20" t="s">
        <v>203</v>
      </c>
      <c r="AC49" s="20" t="s">
        <v>121</v>
      </c>
      <c r="AD49" s="20">
        <v>1209</v>
      </c>
      <c r="AE49" s="20">
        <v>776</v>
      </c>
      <c r="AF49" s="20">
        <v>625</v>
      </c>
      <c r="AG49" s="20">
        <v>456</v>
      </c>
      <c r="AH49" s="20">
        <v>356</v>
      </c>
      <c r="AI49" s="20">
        <v>3115</v>
      </c>
      <c r="AL49" s="6"/>
      <c r="AM49" s="6"/>
      <c r="AN49" s="6"/>
    </row>
    <row r="50" spans="1:40" x14ac:dyDescent="0.25">
      <c r="A50" s="1" t="s">
        <v>322</v>
      </c>
      <c r="C50" s="1" t="s">
        <v>210</v>
      </c>
      <c r="D50" s="106">
        <v>760660</v>
      </c>
      <c r="E50" s="20" t="s">
        <v>323</v>
      </c>
      <c r="F50" s="20" t="s">
        <v>43</v>
      </c>
      <c r="G50" s="96">
        <v>0.56397200000000003</v>
      </c>
      <c r="H50" s="96">
        <f t="shared" si="15"/>
        <v>0.79089480000000001</v>
      </c>
      <c r="I50" s="96">
        <v>0.1249284</v>
      </c>
      <c r="J50" s="99">
        <v>3.8020900000000003E-2</v>
      </c>
      <c r="K50" s="99">
        <v>2.3338899999999999E-2</v>
      </c>
      <c r="L50" s="99">
        <v>2.2817E-2</v>
      </c>
      <c r="M50" s="97">
        <f t="shared" si="10"/>
        <v>601602.03856799996</v>
      </c>
      <c r="N50" s="97">
        <f t="shared" si="11"/>
        <v>95028.036743999997</v>
      </c>
      <c r="O50" s="97">
        <f t="shared" si="12"/>
        <v>28920.977794000002</v>
      </c>
      <c r="P50" s="97">
        <f t="shared" si="13"/>
        <v>17752.967674</v>
      </c>
      <c r="Q50" s="97">
        <f t="shared" si="14"/>
        <v>17355.979220000001</v>
      </c>
      <c r="R50" s="20" t="s">
        <v>44</v>
      </c>
      <c r="S50" s="20" t="s">
        <v>45</v>
      </c>
      <c r="T50" s="20" t="s">
        <v>46</v>
      </c>
      <c r="U50" s="20" t="s">
        <v>165</v>
      </c>
      <c r="V50" s="96">
        <v>0.13809199999999999</v>
      </c>
      <c r="W50" s="99">
        <v>5.5422899999999997E-2</v>
      </c>
      <c r="X50" s="20" t="s">
        <v>48</v>
      </c>
      <c r="Y50" s="96">
        <v>0.27110099999999998</v>
      </c>
      <c r="Z50" s="96">
        <v>0.15274799999999999</v>
      </c>
      <c r="AA50" s="20" t="s">
        <v>324</v>
      </c>
      <c r="AB50" s="20" t="s">
        <v>224</v>
      </c>
      <c r="AC50" s="20" t="s">
        <v>325</v>
      </c>
      <c r="AD50" s="20">
        <v>26104</v>
      </c>
      <c r="AE50" s="20">
        <v>16545</v>
      </c>
      <c r="AF50" s="20">
        <v>14685</v>
      </c>
      <c r="AG50" s="20">
        <v>9172</v>
      </c>
      <c r="AH50" s="20">
        <v>8382</v>
      </c>
      <c r="AI50" s="20">
        <v>34831</v>
      </c>
      <c r="AL50" s="6"/>
      <c r="AM50" s="6"/>
      <c r="AN50" s="6"/>
    </row>
    <row r="51" spans="1:40" x14ac:dyDescent="0.25">
      <c r="A51" s="3"/>
    </row>
    <row r="52" spans="1:40" x14ac:dyDescent="0.25">
      <c r="A52" s="113" t="s">
        <v>326</v>
      </c>
    </row>
    <row r="53" spans="1:40" x14ac:dyDescent="0.25">
      <c r="D53" s="16"/>
      <c r="H53" s="4"/>
      <c r="I53" s="5"/>
      <c r="J53" s="5"/>
      <c r="K53" s="5"/>
      <c r="L53" s="5"/>
      <c r="M53" s="16">
        <f>M29+M3</f>
        <v>5207447.2738773003</v>
      </c>
      <c r="N53" s="16" t="e">
        <f>N29+N3</f>
        <v>#VALUE!</v>
      </c>
      <c r="O53" s="16" t="e">
        <f>O29+O3</f>
        <v>#VALUE!</v>
      </c>
      <c r="P53" s="16" t="e">
        <f>P29+P3</f>
        <v>#VALUE!</v>
      </c>
      <c r="Q53" s="16" t="e">
        <f>Q29+Q3</f>
        <v>#VALUE!</v>
      </c>
    </row>
    <row r="54" spans="1:40" x14ac:dyDescent="0.25">
      <c r="A54" s="18"/>
    </row>
    <row r="55" spans="1:40" x14ac:dyDescent="0.25">
      <c r="D55" s="16"/>
    </row>
  </sheetData>
  <mergeCells count="2">
    <mergeCell ref="AL1:AN1"/>
    <mergeCell ref="AD1:AI1"/>
  </mergeCells>
  <phoneticPr fontId="10" type="noConversion"/>
  <pageMargins left="0.25" right="0.25" top="0.75" bottom="0.75" header="0.3" footer="0.3"/>
  <pageSetup scale="38" orientation="landscape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81112-16B9-444C-8B6B-71FC260AB14A}">
  <sheetPr>
    <pageSetUpPr fitToPage="1"/>
  </sheetPr>
  <dimension ref="A1:K23"/>
  <sheetViews>
    <sheetView workbookViewId="0">
      <selection activeCell="A17" sqref="A17"/>
    </sheetView>
  </sheetViews>
  <sheetFormatPr defaultRowHeight="15" x14ac:dyDescent="0.25"/>
  <cols>
    <col min="1" max="1" width="42.140625" customWidth="1"/>
    <col min="2" max="11" width="15.85546875" customWidth="1"/>
  </cols>
  <sheetData>
    <row r="1" spans="1:11" x14ac:dyDescent="0.25">
      <c r="A1" s="19" t="s">
        <v>3015</v>
      </c>
    </row>
    <row r="2" spans="1:11" x14ac:dyDescent="0.25">
      <c r="B2" s="192" t="s">
        <v>35</v>
      </c>
      <c r="C2" s="193"/>
      <c r="D2" s="190" t="s">
        <v>36</v>
      </c>
      <c r="E2" s="190"/>
      <c r="F2" s="190" t="s">
        <v>327</v>
      </c>
      <c r="G2" s="190"/>
      <c r="H2" s="190" t="s">
        <v>328</v>
      </c>
      <c r="I2" s="190"/>
      <c r="J2" s="190" t="s">
        <v>39</v>
      </c>
      <c r="K2" s="190"/>
    </row>
    <row r="3" spans="1:11" x14ac:dyDescent="0.25">
      <c r="A3" s="19" t="s">
        <v>329</v>
      </c>
      <c r="B3" s="124" t="s">
        <v>330</v>
      </c>
      <c r="C3" s="124" t="s">
        <v>331</v>
      </c>
      <c r="D3" s="123" t="s">
        <v>330</v>
      </c>
      <c r="E3" s="123" t="s">
        <v>331</v>
      </c>
      <c r="F3" s="123" t="s">
        <v>330</v>
      </c>
      <c r="G3" s="123" t="s">
        <v>331</v>
      </c>
      <c r="H3" s="123" t="s">
        <v>330</v>
      </c>
      <c r="I3" s="123" t="s">
        <v>331</v>
      </c>
      <c r="J3" s="123" t="s">
        <v>330</v>
      </c>
      <c r="K3" s="123" t="s">
        <v>331</v>
      </c>
    </row>
    <row r="4" spans="1:11" x14ac:dyDescent="0.25">
      <c r="A4" s="19" t="s">
        <v>332</v>
      </c>
      <c r="B4" t="s">
        <v>340</v>
      </c>
      <c r="C4" t="s">
        <v>2868</v>
      </c>
      <c r="D4" t="s">
        <v>2869</v>
      </c>
      <c r="E4" t="s">
        <v>2870</v>
      </c>
      <c r="F4" s="123"/>
      <c r="G4" s="123"/>
      <c r="H4" t="s">
        <v>2871</v>
      </c>
      <c r="I4" t="s">
        <v>338</v>
      </c>
      <c r="J4" t="s">
        <v>339</v>
      </c>
      <c r="K4" t="s">
        <v>340</v>
      </c>
    </row>
    <row r="5" spans="1:11" x14ac:dyDescent="0.25">
      <c r="A5" s="19" t="s">
        <v>341</v>
      </c>
      <c r="B5" t="s">
        <v>645</v>
      </c>
      <c r="C5" t="s">
        <v>343</v>
      </c>
      <c r="D5" t="s">
        <v>2872</v>
      </c>
      <c r="E5" t="s">
        <v>542</v>
      </c>
      <c r="F5" s="123"/>
      <c r="G5" s="123"/>
      <c r="H5" t="s">
        <v>686</v>
      </c>
      <c r="I5" t="s">
        <v>633</v>
      </c>
      <c r="J5" t="s">
        <v>781</v>
      </c>
      <c r="K5" t="s">
        <v>2873</v>
      </c>
    </row>
    <row r="6" spans="1:11" x14ac:dyDescent="0.25">
      <c r="A6" s="19" t="s">
        <v>350</v>
      </c>
      <c r="B6" t="s">
        <v>2874</v>
      </c>
      <c r="C6" t="s">
        <v>2875</v>
      </c>
      <c r="D6" t="s">
        <v>2876</v>
      </c>
      <c r="E6" t="s">
        <v>2877</v>
      </c>
      <c r="F6" t="s">
        <v>2878</v>
      </c>
      <c r="G6" t="s">
        <v>2879</v>
      </c>
      <c r="H6" t="s">
        <v>2880</v>
      </c>
      <c r="I6" t="s">
        <v>2881</v>
      </c>
      <c r="J6" t="s">
        <v>2882</v>
      </c>
      <c r="K6" t="s">
        <v>2883</v>
      </c>
    </row>
    <row r="7" spans="1:11" x14ac:dyDescent="0.25">
      <c r="A7" s="19" t="s">
        <v>361</v>
      </c>
      <c r="B7" t="s">
        <v>2884</v>
      </c>
      <c r="C7" t="s">
        <v>701</v>
      </c>
      <c r="D7" t="s">
        <v>2885</v>
      </c>
      <c r="E7" t="s">
        <v>2886</v>
      </c>
      <c r="F7" t="s">
        <v>2887</v>
      </c>
      <c r="G7" t="s">
        <v>2888</v>
      </c>
      <c r="H7" t="s">
        <v>2889</v>
      </c>
      <c r="I7" t="s">
        <v>403</v>
      </c>
      <c r="J7" t="s">
        <v>2890</v>
      </c>
      <c r="K7" t="s">
        <v>583</v>
      </c>
    </row>
    <row r="8" spans="1:11" x14ac:dyDescent="0.25">
      <c r="A8" s="19" t="s">
        <v>372</v>
      </c>
      <c r="B8" t="s">
        <v>2891</v>
      </c>
      <c r="C8" t="s">
        <v>373</v>
      </c>
      <c r="D8" t="s">
        <v>2892</v>
      </c>
      <c r="E8" t="s">
        <v>2893</v>
      </c>
      <c r="F8" t="s">
        <v>2894</v>
      </c>
      <c r="G8" t="s">
        <v>2895</v>
      </c>
      <c r="H8" t="s">
        <v>2896</v>
      </c>
      <c r="I8" t="s">
        <v>2897</v>
      </c>
      <c r="J8" t="s">
        <v>2898</v>
      </c>
      <c r="K8" t="s">
        <v>2899</v>
      </c>
    </row>
    <row r="9" spans="1:11" x14ac:dyDescent="0.25">
      <c r="A9" s="19" t="s">
        <v>383</v>
      </c>
      <c r="B9" t="s">
        <v>2900</v>
      </c>
      <c r="C9" t="s">
        <v>2901</v>
      </c>
      <c r="D9" t="s">
        <v>2902</v>
      </c>
      <c r="E9" t="s">
        <v>2903</v>
      </c>
      <c r="F9" t="s">
        <v>2904</v>
      </c>
      <c r="G9" t="s">
        <v>2905</v>
      </c>
      <c r="H9" t="s">
        <v>576</v>
      </c>
      <c r="I9" t="s">
        <v>579</v>
      </c>
      <c r="J9" t="s">
        <v>2906</v>
      </c>
      <c r="K9" t="s">
        <v>2907</v>
      </c>
    </row>
    <row r="10" spans="1:11" x14ac:dyDescent="0.25">
      <c r="A10" s="19" t="s">
        <v>393</v>
      </c>
      <c r="F10" t="s">
        <v>2269</v>
      </c>
      <c r="G10" t="s">
        <v>764</v>
      </c>
    </row>
    <row r="11" spans="1:11" x14ac:dyDescent="0.25">
      <c r="A11" s="19" t="s">
        <v>396</v>
      </c>
      <c r="F11" t="s">
        <v>2908</v>
      </c>
      <c r="G11" t="s">
        <v>2909</v>
      </c>
    </row>
    <row r="12" spans="1:11" x14ac:dyDescent="0.25">
      <c r="A12" s="19" t="s">
        <v>420</v>
      </c>
      <c r="B12" t="s">
        <v>2910</v>
      </c>
      <c r="C12" t="s">
        <v>2911</v>
      </c>
      <c r="D12" t="s">
        <v>2912</v>
      </c>
      <c r="E12" t="s">
        <v>2913</v>
      </c>
      <c r="F12" t="s">
        <v>2914</v>
      </c>
      <c r="G12" t="s">
        <v>2915</v>
      </c>
      <c r="H12" t="s">
        <v>2916</v>
      </c>
      <c r="I12" t="s">
        <v>2917</v>
      </c>
      <c r="J12" t="s">
        <v>2918</v>
      </c>
      <c r="K12" t="s">
        <v>2919</v>
      </c>
    </row>
    <row r="13" spans="1:11" x14ac:dyDescent="0.25">
      <c r="A13" s="19" t="s">
        <v>431</v>
      </c>
      <c r="B13" t="s">
        <v>433</v>
      </c>
      <c r="C13" t="s">
        <v>433</v>
      </c>
      <c r="D13" t="s">
        <v>500</v>
      </c>
      <c r="E13" t="s">
        <v>435</v>
      </c>
      <c r="H13" t="s">
        <v>436</v>
      </c>
      <c r="I13" t="s">
        <v>437</v>
      </c>
      <c r="J13" t="s">
        <v>438</v>
      </c>
      <c r="K13" t="s">
        <v>439</v>
      </c>
    </row>
    <row r="14" spans="1:11" x14ac:dyDescent="0.25">
      <c r="A14" s="19" t="s">
        <v>440</v>
      </c>
      <c r="B14" t="s">
        <v>441</v>
      </c>
      <c r="C14" t="s">
        <v>618</v>
      </c>
      <c r="D14" t="s">
        <v>615</v>
      </c>
      <c r="E14" t="s">
        <v>616</v>
      </c>
      <c r="F14" t="s">
        <v>445</v>
      </c>
      <c r="G14" t="s">
        <v>442</v>
      </c>
      <c r="H14" t="s">
        <v>619</v>
      </c>
      <c r="I14" t="s">
        <v>442</v>
      </c>
      <c r="J14" t="s">
        <v>449</v>
      </c>
      <c r="K14" t="s">
        <v>2920</v>
      </c>
    </row>
    <row r="15" spans="1:11" x14ac:dyDescent="0.25">
      <c r="A15" s="19" t="s">
        <v>451</v>
      </c>
      <c r="B15" t="s">
        <v>2921</v>
      </c>
      <c r="C15" t="s">
        <v>537</v>
      </c>
      <c r="D15" t="s">
        <v>2922</v>
      </c>
      <c r="E15" t="s">
        <v>651</v>
      </c>
      <c r="H15" t="s">
        <v>2923</v>
      </c>
      <c r="I15" t="s">
        <v>774</v>
      </c>
      <c r="J15" t="s">
        <v>2922</v>
      </c>
      <c r="K15" t="s">
        <v>2924</v>
      </c>
    </row>
    <row r="16" spans="1:11" x14ac:dyDescent="0.25">
      <c r="A16" s="19" t="s">
        <v>460</v>
      </c>
      <c r="B16" t="s">
        <v>477</v>
      </c>
      <c r="C16" t="s">
        <v>462</v>
      </c>
      <c r="D16" t="s">
        <v>2925</v>
      </c>
      <c r="E16" t="s">
        <v>776</v>
      </c>
      <c r="H16" t="s">
        <v>2262</v>
      </c>
      <c r="I16" t="s">
        <v>2925</v>
      </c>
      <c r="J16" t="s">
        <v>466</v>
      </c>
      <c r="K16" t="s">
        <v>414</v>
      </c>
    </row>
    <row r="17" spans="1:11" x14ac:dyDescent="0.25">
      <c r="A17" s="65" t="s">
        <v>3079</v>
      </c>
      <c r="B17" t="s">
        <v>467</v>
      </c>
      <c r="C17" t="s">
        <v>779</v>
      </c>
      <c r="D17" t="s">
        <v>467</v>
      </c>
      <c r="E17" t="s">
        <v>594</v>
      </c>
      <c r="H17" t="s">
        <v>586</v>
      </c>
      <c r="I17" t="s">
        <v>593</v>
      </c>
      <c r="J17" t="s">
        <v>779</v>
      </c>
      <c r="K17" t="s">
        <v>2926</v>
      </c>
    </row>
    <row r="18" spans="1:11" x14ac:dyDescent="0.25">
      <c r="A18" s="19" t="s">
        <v>475</v>
      </c>
      <c r="B18" t="s">
        <v>545</v>
      </c>
      <c r="C18" t="s">
        <v>480</v>
      </c>
      <c r="D18" t="s">
        <v>348</v>
      </c>
      <c r="E18" t="s">
        <v>2927</v>
      </c>
      <c r="F18" t="s">
        <v>479</v>
      </c>
      <c r="G18" t="s">
        <v>643</v>
      </c>
      <c r="H18" t="s">
        <v>630</v>
      </c>
      <c r="I18" t="s">
        <v>631</v>
      </c>
      <c r="J18" t="s">
        <v>542</v>
      </c>
      <c r="K18" t="s">
        <v>478</v>
      </c>
    </row>
    <row r="19" spans="1:11" x14ac:dyDescent="0.25">
      <c r="A19" s="19" t="s">
        <v>481</v>
      </c>
      <c r="B19" t="s">
        <v>482</v>
      </c>
      <c r="C19" t="s">
        <v>2928</v>
      </c>
      <c r="D19" t="s">
        <v>2929</v>
      </c>
      <c r="E19" t="s">
        <v>485</v>
      </c>
      <c r="F19" t="s">
        <v>486</v>
      </c>
      <c r="G19" t="s">
        <v>2930</v>
      </c>
      <c r="H19" t="s">
        <v>2931</v>
      </c>
      <c r="I19" t="s">
        <v>543</v>
      </c>
      <c r="J19" t="s">
        <v>490</v>
      </c>
      <c r="K19" t="s">
        <v>2932</v>
      </c>
    </row>
    <row r="20" spans="1:11" x14ac:dyDescent="0.25">
      <c r="A20" s="19" t="s">
        <v>492</v>
      </c>
      <c r="B20" t="s">
        <v>448</v>
      </c>
      <c r="C20" t="s">
        <v>441</v>
      </c>
      <c r="D20" t="s">
        <v>494</v>
      </c>
      <c r="E20" t="s">
        <v>764</v>
      </c>
      <c r="F20" t="s">
        <v>2933</v>
      </c>
      <c r="G20" t="s">
        <v>2301</v>
      </c>
      <c r="H20" t="s">
        <v>498</v>
      </c>
      <c r="I20" t="s">
        <v>2934</v>
      </c>
      <c r="J20" t="s">
        <v>499</v>
      </c>
      <c r="K20" t="s">
        <v>500</v>
      </c>
    </row>
    <row r="21" spans="1:11" x14ac:dyDescent="0.25">
      <c r="A21" s="19" t="s">
        <v>501</v>
      </c>
      <c r="F21" t="s">
        <v>2935</v>
      </c>
      <c r="G21" t="s">
        <v>2935</v>
      </c>
    </row>
    <row r="23" spans="1:11" x14ac:dyDescent="0.25">
      <c r="A23" s="18" t="s">
        <v>2936</v>
      </c>
    </row>
  </sheetData>
  <mergeCells count="5">
    <mergeCell ref="B2:C2"/>
    <mergeCell ref="D2:E2"/>
    <mergeCell ref="F2:G2"/>
    <mergeCell ref="H2:I2"/>
    <mergeCell ref="J2:K2"/>
  </mergeCells>
  <pageMargins left="0.25" right="0.25" top="0.75" bottom="0.75" header="0.3" footer="0.3"/>
  <pageSetup scale="6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15276-2EAF-46B6-B30F-9DD22F19FB7A}">
  <sheetPr>
    <pageSetUpPr fitToPage="1"/>
  </sheetPr>
  <dimension ref="A1:N33"/>
  <sheetViews>
    <sheetView workbookViewId="0">
      <pane xSplit="1" ySplit="3" topLeftCell="B4" activePane="bottomRight" state="frozen"/>
      <selection pane="topRight" activeCell="B1" sqref="B1"/>
      <selection pane="bottomLeft" activeCell="A3" sqref="A3"/>
      <selection pane="bottomRight" activeCell="G35" sqref="G35"/>
    </sheetView>
  </sheetViews>
  <sheetFormatPr defaultRowHeight="15" x14ac:dyDescent="0.25"/>
  <cols>
    <col min="1" max="1" width="31.85546875" customWidth="1"/>
    <col min="2" max="6" width="15.85546875" style="20" customWidth="1"/>
    <col min="7" max="8" width="15.85546875" customWidth="1"/>
    <col min="9" max="12" width="15.85546875" style="20" customWidth="1"/>
  </cols>
  <sheetData>
    <row r="1" spans="1:14" x14ac:dyDescent="0.25">
      <c r="A1" s="19" t="s">
        <v>3014</v>
      </c>
    </row>
    <row r="2" spans="1:14" x14ac:dyDescent="0.25">
      <c r="A2" s="18"/>
      <c r="B2" s="192" t="s">
        <v>35</v>
      </c>
      <c r="C2" s="193"/>
      <c r="D2" s="190" t="s">
        <v>36</v>
      </c>
      <c r="E2" s="190"/>
      <c r="F2" s="190" t="s">
        <v>327</v>
      </c>
      <c r="G2" s="190"/>
      <c r="H2" s="190" t="s">
        <v>328</v>
      </c>
      <c r="I2" s="190"/>
      <c r="J2" s="190" t="s">
        <v>39</v>
      </c>
      <c r="K2" s="190"/>
      <c r="L2" s="19"/>
      <c r="M2" s="19"/>
      <c r="N2" s="19"/>
    </row>
    <row r="3" spans="1:14" x14ac:dyDescent="0.25">
      <c r="A3" s="19" t="s">
        <v>329</v>
      </c>
      <c r="B3" s="124" t="s">
        <v>330</v>
      </c>
      <c r="C3" s="124" t="s">
        <v>331</v>
      </c>
      <c r="D3" s="123" t="s">
        <v>330</v>
      </c>
      <c r="E3" s="123" t="s">
        <v>331</v>
      </c>
      <c r="F3" s="123" t="s">
        <v>330</v>
      </c>
      <c r="G3" s="123" t="s">
        <v>331</v>
      </c>
      <c r="H3" s="123" t="s">
        <v>330</v>
      </c>
      <c r="I3" s="123" t="s">
        <v>331</v>
      </c>
      <c r="J3" s="123" t="s">
        <v>330</v>
      </c>
      <c r="K3" s="123" t="s">
        <v>331</v>
      </c>
      <c r="L3"/>
    </row>
    <row r="4" spans="1:14" x14ac:dyDescent="0.25">
      <c r="A4" s="19" t="s">
        <v>332</v>
      </c>
      <c r="B4" s="20" t="s">
        <v>333</v>
      </c>
      <c r="C4" s="20" t="s">
        <v>334</v>
      </c>
      <c r="D4" s="20" t="s">
        <v>335</v>
      </c>
      <c r="E4" s="20" t="s">
        <v>336</v>
      </c>
      <c r="H4" s="20" t="s">
        <v>337</v>
      </c>
      <c r="I4" s="20" t="s">
        <v>338</v>
      </c>
      <c r="J4" s="20" t="s">
        <v>339</v>
      </c>
      <c r="K4" s="20" t="s">
        <v>340</v>
      </c>
      <c r="L4"/>
    </row>
    <row r="5" spans="1:14" x14ac:dyDescent="0.25">
      <c r="A5" s="19" t="s">
        <v>341</v>
      </c>
      <c r="B5" s="20" t="s">
        <v>342</v>
      </c>
      <c r="C5" s="20" t="s">
        <v>343</v>
      </c>
      <c r="D5" s="20" t="s">
        <v>344</v>
      </c>
      <c r="E5" s="20" t="s">
        <v>345</v>
      </c>
      <c r="H5" s="20" t="s">
        <v>346</v>
      </c>
      <c r="I5" s="20" t="s">
        <v>347</v>
      </c>
      <c r="J5" s="20" t="s">
        <v>348</v>
      </c>
      <c r="K5" s="20" t="s">
        <v>349</v>
      </c>
      <c r="L5"/>
    </row>
    <row r="6" spans="1:14" x14ac:dyDescent="0.25">
      <c r="A6" s="19" t="s">
        <v>350</v>
      </c>
      <c r="B6" s="20" t="s">
        <v>351</v>
      </c>
      <c r="C6" s="20" t="s">
        <v>352</v>
      </c>
      <c r="D6" s="20" t="s">
        <v>353</v>
      </c>
      <c r="E6" s="20" t="s">
        <v>354</v>
      </c>
      <c r="F6" s="20" t="s">
        <v>355</v>
      </c>
      <c r="G6" s="20" t="s">
        <v>356</v>
      </c>
      <c r="H6" s="20" t="s">
        <v>357</v>
      </c>
      <c r="I6" s="20" t="s">
        <v>358</v>
      </c>
      <c r="J6" s="20" t="s">
        <v>359</v>
      </c>
      <c r="K6" s="20" t="s">
        <v>360</v>
      </c>
      <c r="L6"/>
    </row>
    <row r="7" spans="1:14" x14ac:dyDescent="0.25">
      <c r="A7" s="19" t="s">
        <v>361</v>
      </c>
      <c r="B7" s="20" t="s">
        <v>362</v>
      </c>
      <c r="C7" s="20" t="s">
        <v>363</v>
      </c>
      <c r="D7" s="20" t="s">
        <v>364</v>
      </c>
      <c r="E7" s="20" t="s">
        <v>365</v>
      </c>
      <c r="F7" s="20" t="s">
        <v>366</v>
      </c>
      <c r="G7" s="20" t="s">
        <v>367</v>
      </c>
      <c r="H7" s="20" t="s">
        <v>368</v>
      </c>
      <c r="I7" s="20" t="s">
        <v>369</v>
      </c>
      <c r="J7" s="20" t="s">
        <v>370</v>
      </c>
      <c r="K7" s="20" t="s">
        <v>371</v>
      </c>
      <c r="L7"/>
    </row>
    <row r="8" spans="1:14" x14ac:dyDescent="0.25">
      <c r="A8" s="19" t="s">
        <v>372</v>
      </c>
      <c r="B8" s="20" t="s">
        <v>373</v>
      </c>
      <c r="C8" s="20" t="s">
        <v>374</v>
      </c>
      <c r="D8" s="20" t="s">
        <v>375</v>
      </c>
      <c r="E8" s="20" t="s">
        <v>376</v>
      </c>
      <c r="F8" s="20" t="s">
        <v>377</v>
      </c>
      <c r="G8" s="20" t="s">
        <v>378</v>
      </c>
      <c r="H8" s="20" t="s">
        <v>379</v>
      </c>
      <c r="I8" s="20" t="s">
        <v>380</v>
      </c>
      <c r="J8" s="20" t="s">
        <v>381</v>
      </c>
      <c r="K8" s="20" t="s">
        <v>382</v>
      </c>
      <c r="L8"/>
    </row>
    <row r="9" spans="1:14" x14ac:dyDescent="0.25">
      <c r="A9" s="19" t="s">
        <v>383</v>
      </c>
      <c r="B9" s="20" t="s">
        <v>384</v>
      </c>
      <c r="C9" s="20" t="s">
        <v>385</v>
      </c>
      <c r="D9" s="20" t="s">
        <v>386</v>
      </c>
      <c r="E9" s="20" t="s">
        <v>387</v>
      </c>
      <c r="F9" s="20" t="s">
        <v>388</v>
      </c>
      <c r="G9" s="20" t="s">
        <v>389</v>
      </c>
      <c r="H9" s="20" t="s">
        <v>390</v>
      </c>
      <c r="I9" s="20" t="s">
        <v>391</v>
      </c>
      <c r="J9" s="20" t="s">
        <v>392</v>
      </c>
      <c r="K9" s="20" t="s">
        <v>391</v>
      </c>
      <c r="L9"/>
    </row>
    <row r="10" spans="1:14" x14ac:dyDescent="0.25">
      <c r="A10" s="19" t="s">
        <v>393</v>
      </c>
      <c r="F10" s="20" t="s">
        <v>394</v>
      </c>
      <c r="G10" s="20" t="s">
        <v>395</v>
      </c>
      <c r="H10" s="20"/>
      <c r="L10"/>
    </row>
    <row r="11" spans="1:14" x14ac:dyDescent="0.25">
      <c r="A11" s="19" t="s">
        <v>396</v>
      </c>
      <c r="B11" s="123"/>
      <c r="C11" s="123"/>
      <c r="F11" s="20" t="s">
        <v>397</v>
      </c>
      <c r="G11" s="20" t="s">
        <v>398</v>
      </c>
      <c r="H11" s="20"/>
      <c r="L11"/>
    </row>
    <row r="12" spans="1:14" x14ac:dyDescent="0.25">
      <c r="A12" s="19" t="s">
        <v>399</v>
      </c>
      <c r="B12" s="20" t="s">
        <v>400</v>
      </c>
      <c r="C12" s="20" t="s">
        <v>401</v>
      </c>
      <c r="D12" s="20" t="s">
        <v>402</v>
      </c>
      <c r="E12" s="20" t="s">
        <v>403</v>
      </c>
      <c r="F12" s="20" t="s">
        <v>404</v>
      </c>
      <c r="G12" s="20" t="s">
        <v>405</v>
      </c>
      <c r="H12" s="20" t="s">
        <v>406</v>
      </c>
      <c r="I12" s="20" t="s">
        <v>407</v>
      </c>
      <c r="J12" s="20" t="s">
        <v>408</v>
      </c>
      <c r="K12" s="20" t="s">
        <v>409</v>
      </c>
      <c r="L12"/>
    </row>
    <row r="13" spans="1:14" x14ac:dyDescent="0.25">
      <c r="A13" s="19" t="s">
        <v>410</v>
      </c>
      <c r="B13" s="20" t="s">
        <v>411</v>
      </c>
      <c r="C13" s="20" t="s">
        <v>412</v>
      </c>
      <c r="D13" s="20" t="s">
        <v>413</v>
      </c>
      <c r="E13" s="20" t="s">
        <v>414</v>
      </c>
      <c r="F13" s="20" t="s">
        <v>415</v>
      </c>
      <c r="G13" s="20" t="s">
        <v>416</v>
      </c>
      <c r="H13" s="20" t="s">
        <v>417</v>
      </c>
      <c r="I13" s="20" t="s">
        <v>418</v>
      </c>
      <c r="J13" s="20" t="s">
        <v>419</v>
      </c>
      <c r="K13" s="20" t="s">
        <v>418</v>
      </c>
      <c r="L13"/>
    </row>
    <row r="14" spans="1:14" x14ac:dyDescent="0.25">
      <c r="A14" s="19" t="s">
        <v>420</v>
      </c>
      <c r="B14" s="20" t="s">
        <v>421</v>
      </c>
      <c r="C14" s="20" t="s">
        <v>422</v>
      </c>
      <c r="D14" s="20" t="s">
        <v>423</v>
      </c>
      <c r="E14" s="20" t="s">
        <v>424</v>
      </c>
      <c r="F14" s="20" t="s">
        <v>425</v>
      </c>
      <c r="G14" s="20" t="s">
        <v>426</v>
      </c>
      <c r="H14" s="20" t="s">
        <v>427</v>
      </c>
      <c r="I14" s="20" t="s">
        <v>428</v>
      </c>
      <c r="J14" s="20" t="s">
        <v>429</v>
      </c>
      <c r="K14" s="20" t="s">
        <v>430</v>
      </c>
      <c r="L14"/>
    </row>
    <row r="15" spans="1:14" x14ac:dyDescent="0.25">
      <c r="A15" s="19" t="s">
        <v>431</v>
      </c>
      <c r="B15" s="20" t="s">
        <v>432</v>
      </c>
      <c r="C15" s="20" t="s">
        <v>433</v>
      </c>
      <c r="D15" s="20" t="s">
        <v>434</v>
      </c>
      <c r="E15" s="20" t="s">
        <v>435</v>
      </c>
      <c r="G15" s="20"/>
      <c r="H15" s="20" t="s">
        <v>436</v>
      </c>
      <c r="I15" s="20" t="s">
        <v>437</v>
      </c>
      <c r="J15" s="20" t="s">
        <v>438</v>
      </c>
      <c r="K15" s="20" t="s">
        <v>439</v>
      </c>
      <c r="L15"/>
    </row>
    <row r="16" spans="1:14" x14ac:dyDescent="0.25">
      <c r="A16" s="19" t="s">
        <v>440</v>
      </c>
      <c r="B16" s="20" t="s">
        <v>441</v>
      </c>
      <c r="C16" s="20" t="s">
        <v>442</v>
      </c>
      <c r="D16" s="20" t="s">
        <v>443</v>
      </c>
      <c r="E16" s="20" t="s">
        <v>444</v>
      </c>
      <c r="F16" s="20" t="s">
        <v>445</v>
      </c>
      <c r="G16" s="20" t="s">
        <v>446</v>
      </c>
      <c r="H16" s="20" t="s">
        <v>447</v>
      </c>
      <c r="I16" s="20" t="s">
        <v>448</v>
      </c>
      <c r="J16" s="20" t="s">
        <v>449</v>
      </c>
      <c r="K16" s="20" t="s">
        <v>450</v>
      </c>
      <c r="L16"/>
    </row>
    <row r="17" spans="1:12" x14ac:dyDescent="0.25">
      <c r="A17" s="19" t="s">
        <v>451</v>
      </c>
      <c r="B17" s="20" t="s">
        <v>452</v>
      </c>
      <c r="C17" s="20" t="s">
        <v>453</v>
      </c>
      <c r="D17" s="20" t="s">
        <v>454</v>
      </c>
      <c r="E17" s="20" t="s">
        <v>455</v>
      </c>
      <c r="G17" s="20"/>
      <c r="H17" s="20" t="s">
        <v>456</v>
      </c>
      <c r="I17" s="20" t="s">
        <v>457</v>
      </c>
      <c r="J17" s="20" t="s">
        <v>458</v>
      </c>
      <c r="K17" s="20" t="s">
        <v>459</v>
      </c>
      <c r="L17"/>
    </row>
    <row r="18" spans="1:12" x14ac:dyDescent="0.25">
      <c r="A18" s="19" t="s">
        <v>460</v>
      </c>
      <c r="B18" s="20" t="s">
        <v>461</v>
      </c>
      <c r="C18" s="20" t="s">
        <v>462</v>
      </c>
      <c r="D18" s="20" t="s">
        <v>463</v>
      </c>
      <c r="E18" s="20" t="s">
        <v>464</v>
      </c>
      <c r="G18" s="20"/>
      <c r="H18" s="20" t="s">
        <v>465</v>
      </c>
      <c r="I18" s="20" t="s">
        <v>463</v>
      </c>
      <c r="J18" s="20" t="s">
        <v>466</v>
      </c>
      <c r="K18" s="20" t="s">
        <v>414</v>
      </c>
      <c r="L18"/>
    </row>
    <row r="19" spans="1:12" x14ac:dyDescent="0.25">
      <c r="A19" s="65" t="s">
        <v>3079</v>
      </c>
      <c r="B19" s="20" t="s">
        <v>467</v>
      </c>
      <c r="C19" s="20" t="s">
        <v>468</v>
      </c>
      <c r="D19" s="20" t="s">
        <v>469</v>
      </c>
      <c r="E19" s="20" t="s">
        <v>470</v>
      </c>
      <c r="G19" s="20"/>
      <c r="H19" s="20" t="s">
        <v>471</v>
      </c>
      <c r="I19" s="20" t="s">
        <v>472</v>
      </c>
      <c r="J19" s="20" t="s">
        <v>473</v>
      </c>
      <c r="K19" s="20" t="s">
        <v>474</v>
      </c>
      <c r="L19"/>
    </row>
    <row r="20" spans="1:12" x14ac:dyDescent="0.25">
      <c r="A20" s="19" t="s">
        <v>475</v>
      </c>
      <c r="B20" s="20" t="s">
        <v>476</v>
      </c>
      <c r="C20" s="20" t="s">
        <v>348</v>
      </c>
      <c r="D20" s="20" t="s">
        <v>343</v>
      </c>
      <c r="E20" s="20" t="s">
        <v>476</v>
      </c>
      <c r="F20" s="20" t="s">
        <v>477</v>
      </c>
      <c r="G20" s="20" t="s">
        <v>478</v>
      </c>
      <c r="H20" s="20" t="s">
        <v>477</v>
      </c>
      <c r="I20" s="20" t="s">
        <v>477</v>
      </c>
      <c r="J20" s="20" t="s">
        <v>479</v>
      </c>
      <c r="K20" s="20" t="s">
        <v>480</v>
      </c>
      <c r="L20"/>
    </row>
    <row r="21" spans="1:12" x14ac:dyDescent="0.25">
      <c r="A21" s="19" t="s">
        <v>481</v>
      </c>
      <c r="B21" s="20" t="s">
        <v>482</v>
      </c>
      <c r="C21" s="20" t="s">
        <v>483</v>
      </c>
      <c r="D21" s="20" t="s">
        <v>484</v>
      </c>
      <c r="E21" s="20" t="s">
        <v>485</v>
      </c>
      <c r="F21" s="20" t="s">
        <v>486</v>
      </c>
      <c r="G21" s="20" t="s">
        <v>487</v>
      </c>
      <c r="H21" s="20" t="s">
        <v>488</v>
      </c>
      <c r="I21" s="20" t="s">
        <v>489</v>
      </c>
      <c r="J21" s="20" t="s">
        <v>490</v>
      </c>
      <c r="K21" s="20" t="s">
        <v>491</v>
      </c>
      <c r="L21"/>
    </row>
    <row r="22" spans="1:12" x14ac:dyDescent="0.25">
      <c r="A22" s="19" t="s">
        <v>492</v>
      </c>
      <c r="B22" s="20" t="s">
        <v>493</v>
      </c>
      <c r="C22" s="20" t="s">
        <v>441</v>
      </c>
      <c r="D22" s="20" t="s">
        <v>494</v>
      </c>
      <c r="E22" s="20" t="s">
        <v>495</v>
      </c>
      <c r="F22" s="20" t="s">
        <v>496</v>
      </c>
      <c r="G22" s="20" t="s">
        <v>497</v>
      </c>
      <c r="H22" s="20" t="s">
        <v>498</v>
      </c>
      <c r="I22" s="20" t="s">
        <v>435</v>
      </c>
      <c r="J22" s="20" t="s">
        <v>499</v>
      </c>
      <c r="K22" s="20" t="s">
        <v>500</v>
      </c>
      <c r="L22"/>
    </row>
    <row r="23" spans="1:12" x14ac:dyDescent="0.25">
      <c r="A23" s="19" t="s">
        <v>501</v>
      </c>
      <c r="F23" s="20" t="s">
        <v>502</v>
      </c>
      <c r="G23" s="20" t="s">
        <v>503</v>
      </c>
      <c r="H23" s="20"/>
      <c r="L23"/>
    </row>
    <row r="24" spans="1:12" x14ac:dyDescent="0.25">
      <c r="A24" s="19" t="s">
        <v>504</v>
      </c>
      <c r="B24" s="20" t="s">
        <v>479</v>
      </c>
      <c r="C24" s="20" t="s">
        <v>343</v>
      </c>
      <c r="D24" s="20" t="s">
        <v>505</v>
      </c>
      <c r="E24" s="20" t="s">
        <v>465</v>
      </c>
      <c r="F24" s="20" t="s">
        <v>506</v>
      </c>
      <c r="G24" s="20" t="s">
        <v>445</v>
      </c>
      <c r="H24" s="20" t="s">
        <v>507</v>
      </c>
      <c r="I24" s="20" t="s">
        <v>508</v>
      </c>
      <c r="J24" s="20" t="s">
        <v>509</v>
      </c>
      <c r="K24" s="20" t="s">
        <v>510</v>
      </c>
      <c r="L24"/>
    </row>
    <row r="25" spans="1:12" x14ac:dyDescent="0.25">
      <c r="A25" s="19" t="s">
        <v>511</v>
      </c>
      <c r="B25" s="20" t="s">
        <v>512</v>
      </c>
      <c r="C25" s="20" t="s">
        <v>513</v>
      </c>
      <c r="D25" s="20" t="s">
        <v>514</v>
      </c>
      <c r="E25" s="20" t="s">
        <v>515</v>
      </c>
      <c r="F25" s="20" t="s">
        <v>516</v>
      </c>
      <c r="G25" s="20" t="s">
        <v>517</v>
      </c>
      <c r="H25" s="20" t="s">
        <v>518</v>
      </c>
      <c r="I25" s="20" t="s">
        <v>519</v>
      </c>
      <c r="J25" s="20" t="s">
        <v>520</v>
      </c>
      <c r="K25" s="20" t="s">
        <v>521</v>
      </c>
      <c r="L25"/>
    </row>
    <row r="26" spans="1:12" x14ac:dyDescent="0.25">
      <c r="A26" s="19" t="s">
        <v>522</v>
      </c>
      <c r="B26" s="20" t="s">
        <v>523</v>
      </c>
      <c r="C26" s="20" t="s">
        <v>524</v>
      </c>
      <c r="D26" s="20" t="s">
        <v>525</v>
      </c>
      <c r="E26" s="20" t="s">
        <v>526</v>
      </c>
      <c r="F26" s="20" t="s">
        <v>527</v>
      </c>
      <c r="G26" s="20" t="s">
        <v>528</v>
      </c>
      <c r="H26" s="20" t="s">
        <v>529</v>
      </c>
      <c r="I26" s="20" t="s">
        <v>458</v>
      </c>
      <c r="J26" s="20" t="s">
        <v>530</v>
      </c>
      <c r="K26" s="20" t="s">
        <v>531</v>
      </c>
      <c r="L26"/>
    </row>
    <row r="27" spans="1:12" x14ac:dyDescent="0.25">
      <c r="A27" t="s">
        <v>532</v>
      </c>
      <c r="B27" s="20">
        <v>25</v>
      </c>
      <c r="C27" s="20">
        <v>25</v>
      </c>
      <c r="D27" s="20">
        <v>25</v>
      </c>
      <c r="E27" s="20">
        <v>25</v>
      </c>
      <c r="F27" s="20">
        <v>25</v>
      </c>
      <c r="G27" s="20">
        <v>25</v>
      </c>
      <c r="H27" s="20">
        <v>25</v>
      </c>
      <c r="I27" s="20">
        <v>25</v>
      </c>
      <c r="J27" s="20">
        <v>25</v>
      </c>
      <c r="K27" s="20">
        <v>25</v>
      </c>
      <c r="L27"/>
    </row>
    <row r="28" spans="1:12" x14ac:dyDescent="0.25">
      <c r="A28" t="s">
        <v>533</v>
      </c>
      <c r="B28" s="21">
        <v>1839828</v>
      </c>
      <c r="C28" s="21">
        <v>1442091</v>
      </c>
      <c r="D28" s="21">
        <v>1839828</v>
      </c>
      <c r="E28" s="21">
        <v>1442091</v>
      </c>
      <c r="F28" s="21">
        <v>1839828</v>
      </c>
      <c r="G28" s="21">
        <v>1442091</v>
      </c>
      <c r="H28" s="21">
        <v>1839828</v>
      </c>
      <c r="I28" s="21">
        <v>1442091</v>
      </c>
      <c r="J28" s="21">
        <v>1839828</v>
      </c>
      <c r="K28" s="21">
        <v>1442091</v>
      </c>
      <c r="L28"/>
    </row>
    <row r="29" spans="1:12" x14ac:dyDescent="0.25">
      <c r="A29" t="s">
        <v>534</v>
      </c>
      <c r="B29" s="20">
        <v>53258</v>
      </c>
      <c r="C29" s="20">
        <v>53403</v>
      </c>
      <c r="D29" s="20">
        <v>31812</v>
      </c>
      <c r="E29" s="20">
        <v>34691</v>
      </c>
      <c r="F29" s="20">
        <v>30957</v>
      </c>
      <c r="G29" s="20">
        <v>28393</v>
      </c>
      <c r="H29" s="20">
        <v>15753</v>
      </c>
      <c r="I29" s="20">
        <v>20227</v>
      </c>
      <c r="J29" s="20">
        <v>17472</v>
      </c>
      <c r="K29" s="20">
        <v>15688</v>
      </c>
      <c r="L29"/>
    </row>
    <row r="30" spans="1:12" x14ac:dyDescent="0.25">
      <c r="A30" t="s">
        <v>3161</v>
      </c>
    </row>
    <row r="32" spans="1:12" x14ac:dyDescent="0.25">
      <c r="A32" s="18"/>
    </row>
    <row r="33" spans="7:8" x14ac:dyDescent="0.25">
      <c r="G33" s="20"/>
      <c r="H33" s="20"/>
    </row>
  </sheetData>
  <mergeCells count="5">
    <mergeCell ref="B2:C2"/>
    <mergeCell ref="D2:E2"/>
    <mergeCell ref="F2:G2"/>
    <mergeCell ref="H2:I2"/>
    <mergeCell ref="J2:K2"/>
  </mergeCells>
  <pageMargins left="0.25" right="0.25" top="0.75" bottom="0.75" header="0.3" footer="0.3"/>
  <pageSetup scale="71" orientation="landscape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4E934-E60F-4083-8A09-79767D959C8F}">
  <sheetPr>
    <pageSetUpPr fitToPage="1"/>
  </sheetPr>
  <dimension ref="A1:K33"/>
  <sheetViews>
    <sheetView workbookViewId="0">
      <pane xSplit="1" ySplit="3" topLeftCell="B10" activePane="bottomRight" state="frozen"/>
      <selection pane="topRight" activeCell="B1" sqref="B1"/>
      <selection pane="bottomLeft" activeCell="A4" sqref="A4"/>
      <selection pane="bottomRight" activeCell="A19" sqref="A19"/>
    </sheetView>
  </sheetViews>
  <sheetFormatPr defaultRowHeight="15" x14ac:dyDescent="0.25"/>
  <cols>
    <col min="1" max="1" width="31.85546875" customWidth="1"/>
    <col min="2" max="11" width="15.85546875" style="20" customWidth="1"/>
  </cols>
  <sheetData>
    <row r="1" spans="1:11" x14ac:dyDescent="0.25">
      <c r="A1" s="65" t="s">
        <v>2</v>
      </c>
    </row>
    <row r="2" spans="1:11" x14ac:dyDescent="0.25">
      <c r="B2" s="192" t="s">
        <v>35</v>
      </c>
      <c r="C2" s="193"/>
      <c r="D2" s="190" t="s">
        <v>36</v>
      </c>
      <c r="E2" s="190"/>
      <c r="F2" s="190" t="s">
        <v>327</v>
      </c>
      <c r="G2" s="190"/>
      <c r="H2" s="190" t="s">
        <v>328</v>
      </c>
      <c r="I2" s="190"/>
      <c r="J2" s="190" t="s">
        <v>39</v>
      </c>
      <c r="K2" s="190"/>
    </row>
    <row r="3" spans="1:11" x14ac:dyDescent="0.25">
      <c r="A3" s="19" t="s">
        <v>329</v>
      </c>
      <c r="B3" s="123" t="s">
        <v>330</v>
      </c>
      <c r="C3" s="123" t="s">
        <v>331</v>
      </c>
      <c r="D3" s="123" t="s">
        <v>330</v>
      </c>
      <c r="E3" s="123" t="s">
        <v>331</v>
      </c>
      <c r="F3" s="123" t="s">
        <v>330</v>
      </c>
      <c r="G3" s="123" t="s">
        <v>331</v>
      </c>
      <c r="H3" s="123" t="s">
        <v>330</v>
      </c>
      <c r="I3" s="123" t="s">
        <v>331</v>
      </c>
      <c r="J3" s="123" t="s">
        <v>330</v>
      </c>
      <c r="K3" s="123" t="s">
        <v>331</v>
      </c>
    </row>
    <row r="4" spans="1:11" x14ac:dyDescent="0.25">
      <c r="A4" s="19" t="s">
        <v>332</v>
      </c>
      <c r="B4" s="20" t="s">
        <v>452</v>
      </c>
      <c r="C4" s="20" t="s">
        <v>535</v>
      </c>
      <c r="D4" s="20" t="s">
        <v>536</v>
      </c>
      <c r="E4" s="20" t="s">
        <v>514</v>
      </c>
      <c r="H4" s="20" t="s">
        <v>537</v>
      </c>
      <c r="I4" s="20" t="s">
        <v>538</v>
      </c>
      <c r="J4" s="20" t="s">
        <v>539</v>
      </c>
      <c r="K4" s="20" t="s">
        <v>416</v>
      </c>
    </row>
    <row r="5" spans="1:11" x14ac:dyDescent="0.25">
      <c r="A5" s="19" t="s">
        <v>341</v>
      </c>
      <c r="B5" s="20" t="s">
        <v>540</v>
      </c>
      <c r="C5" s="20" t="s">
        <v>479</v>
      </c>
      <c r="D5" s="20" t="s">
        <v>541</v>
      </c>
      <c r="E5" s="20" t="s">
        <v>542</v>
      </c>
      <c r="H5" s="20" t="s">
        <v>543</v>
      </c>
      <c r="I5" s="20" t="s">
        <v>544</v>
      </c>
      <c r="J5" s="20" t="s">
        <v>545</v>
      </c>
      <c r="K5" s="20" t="s">
        <v>349</v>
      </c>
    </row>
    <row r="6" spans="1:11" x14ac:dyDescent="0.25">
      <c r="A6" s="19" t="s">
        <v>350</v>
      </c>
      <c r="B6" s="20" t="s">
        <v>353</v>
      </c>
      <c r="C6" s="20" t="s">
        <v>546</v>
      </c>
      <c r="D6" s="20" t="s">
        <v>547</v>
      </c>
      <c r="E6" s="20" t="s">
        <v>548</v>
      </c>
      <c r="F6" s="20" t="s">
        <v>549</v>
      </c>
      <c r="G6" s="20" t="s">
        <v>550</v>
      </c>
      <c r="H6" s="20" t="s">
        <v>357</v>
      </c>
      <c r="I6" s="20" t="s">
        <v>358</v>
      </c>
      <c r="J6" s="20" t="s">
        <v>359</v>
      </c>
      <c r="K6" s="20" t="s">
        <v>551</v>
      </c>
    </row>
    <row r="7" spans="1:11" x14ac:dyDescent="0.25">
      <c r="A7" s="19" t="s">
        <v>361</v>
      </c>
      <c r="B7" s="20" t="s">
        <v>552</v>
      </c>
      <c r="C7" s="20" t="s">
        <v>553</v>
      </c>
      <c r="D7" s="20" t="s">
        <v>554</v>
      </c>
      <c r="E7" s="20" t="s">
        <v>555</v>
      </c>
      <c r="F7" s="20" t="s">
        <v>556</v>
      </c>
      <c r="G7" s="20" t="s">
        <v>557</v>
      </c>
      <c r="H7" s="20" t="s">
        <v>554</v>
      </c>
      <c r="I7" s="20" t="s">
        <v>558</v>
      </c>
      <c r="J7" s="20" t="s">
        <v>559</v>
      </c>
      <c r="K7" s="20" t="s">
        <v>552</v>
      </c>
    </row>
    <row r="8" spans="1:11" x14ac:dyDescent="0.25">
      <c r="A8" s="19" t="s">
        <v>372</v>
      </c>
      <c r="B8" s="20" t="s">
        <v>560</v>
      </c>
      <c r="C8" s="20" t="s">
        <v>561</v>
      </c>
      <c r="D8" s="20" t="s">
        <v>562</v>
      </c>
      <c r="E8" s="20" t="s">
        <v>563</v>
      </c>
      <c r="F8" s="20" t="s">
        <v>564</v>
      </c>
      <c r="G8" s="20" t="s">
        <v>565</v>
      </c>
      <c r="H8" s="20" t="s">
        <v>566</v>
      </c>
      <c r="I8" s="20" t="s">
        <v>567</v>
      </c>
      <c r="J8" s="20" t="s">
        <v>568</v>
      </c>
      <c r="K8" s="20" t="s">
        <v>569</v>
      </c>
    </row>
    <row r="9" spans="1:11" x14ac:dyDescent="0.25">
      <c r="A9" s="19" t="s">
        <v>383</v>
      </c>
      <c r="B9" s="20" t="s">
        <v>570</v>
      </c>
      <c r="C9" s="20" t="s">
        <v>571</v>
      </c>
      <c r="D9" s="20" t="s">
        <v>572</v>
      </c>
      <c r="E9" s="20" t="s">
        <v>573</v>
      </c>
      <c r="F9" s="20" t="s">
        <v>574</v>
      </c>
      <c r="G9" s="20" t="s">
        <v>575</v>
      </c>
      <c r="H9" s="20" t="s">
        <v>576</v>
      </c>
      <c r="I9" s="20" t="s">
        <v>577</v>
      </c>
      <c r="J9" s="20" t="s">
        <v>578</v>
      </c>
      <c r="K9" s="20" t="s">
        <v>579</v>
      </c>
    </row>
    <row r="10" spans="1:11" x14ac:dyDescent="0.25">
      <c r="A10" s="19" t="s">
        <v>393</v>
      </c>
      <c r="F10" s="20" t="s">
        <v>580</v>
      </c>
      <c r="G10" s="20" t="s">
        <v>581</v>
      </c>
    </row>
    <row r="11" spans="1:11" x14ac:dyDescent="0.25">
      <c r="A11" s="19" t="s">
        <v>396</v>
      </c>
      <c r="B11" s="123"/>
      <c r="C11" s="123"/>
      <c r="F11" s="20" t="s">
        <v>582</v>
      </c>
      <c r="G11" s="20" t="s">
        <v>583</v>
      </c>
    </row>
    <row r="12" spans="1:11" x14ac:dyDescent="0.25">
      <c r="A12" s="19" t="s">
        <v>399</v>
      </c>
      <c r="B12" s="20" t="s">
        <v>584</v>
      </c>
      <c r="C12" s="20" t="s">
        <v>585</v>
      </c>
      <c r="D12" s="20" t="s">
        <v>586</v>
      </c>
      <c r="E12" s="20" t="s">
        <v>413</v>
      </c>
      <c r="F12" s="20" t="s">
        <v>587</v>
      </c>
      <c r="G12" s="20" t="s">
        <v>588</v>
      </c>
      <c r="H12" s="20" t="s">
        <v>589</v>
      </c>
      <c r="I12" s="20" t="s">
        <v>590</v>
      </c>
      <c r="J12" s="20" t="s">
        <v>591</v>
      </c>
      <c r="K12" s="20" t="s">
        <v>592</v>
      </c>
    </row>
    <row r="13" spans="1:11" x14ac:dyDescent="0.25">
      <c r="A13" s="19" t="s">
        <v>410</v>
      </c>
      <c r="B13" s="20" t="s">
        <v>593</v>
      </c>
      <c r="C13" s="20" t="s">
        <v>594</v>
      </c>
      <c r="D13" s="20" t="s">
        <v>595</v>
      </c>
      <c r="E13" s="20" t="s">
        <v>596</v>
      </c>
      <c r="F13" s="20" t="s">
        <v>597</v>
      </c>
      <c r="G13" s="20" t="s">
        <v>340</v>
      </c>
      <c r="H13" s="20" t="s">
        <v>598</v>
      </c>
      <c r="I13" s="20" t="s">
        <v>599</v>
      </c>
      <c r="J13" s="20" t="s">
        <v>419</v>
      </c>
      <c r="K13" s="20" t="s">
        <v>599</v>
      </c>
    </row>
    <row r="14" spans="1:11" x14ac:dyDescent="0.25">
      <c r="A14" s="19" t="s">
        <v>420</v>
      </c>
      <c r="B14" s="20" t="s">
        <v>600</v>
      </c>
      <c r="C14" s="20" t="s">
        <v>601</v>
      </c>
      <c r="D14" s="20" t="s">
        <v>602</v>
      </c>
      <c r="E14" s="20" t="s">
        <v>603</v>
      </c>
      <c r="F14" s="20" t="s">
        <v>604</v>
      </c>
      <c r="G14" s="20" t="s">
        <v>605</v>
      </c>
      <c r="H14" s="20" t="s">
        <v>606</v>
      </c>
      <c r="I14" s="20" t="s">
        <v>607</v>
      </c>
      <c r="J14" s="20" t="s">
        <v>608</v>
      </c>
      <c r="K14" s="20" t="s">
        <v>609</v>
      </c>
    </row>
    <row r="15" spans="1:11" x14ac:dyDescent="0.25">
      <c r="A15" s="19" t="s">
        <v>431</v>
      </c>
      <c r="B15" s="20" t="s">
        <v>434</v>
      </c>
      <c r="C15" s="20" t="s">
        <v>435</v>
      </c>
      <c r="D15" s="20" t="s">
        <v>610</v>
      </c>
      <c r="E15" s="20" t="s">
        <v>611</v>
      </c>
      <c r="H15" s="20" t="s">
        <v>612</v>
      </c>
      <c r="I15" s="20" t="s">
        <v>437</v>
      </c>
      <c r="J15" s="20" t="s">
        <v>613</v>
      </c>
      <c r="K15" s="20" t="s">
        <v>614</v>
      </c>
    </row>
    <row r="16" spans="1:11" x14ac:dyDescent="0.25">
      <c r="A16" s="19" t="s">
        <v>440</v>
      </c>
      <c r="B16" s="20" t="s">
        <v>615</v>
      </c>
      <c r="C16" s="20" t="s">
        <v>616</v>
      </c>
      <c r="D16" s="20" t="s">
        <v>448</v>
      </c>
      <c r="E16" s="20" t="s">
        <v>617</v>
      </c>
      <c r="F16" s="20" t="s">
        <v>447</v>
      </c>
      <c r="G16" s="20" t="s">
        <v>618</v>
      </c>
      <c r="H16" s="20" t="s">
        <v>619</v>
      </c>
      <c r="I16" s="20" t="s">
        <v>442</v>
      </c>
      <c r="J16" s="20" t="s">
        <v>620</v>
      </c>
      <c r="K16" s="20" t="s">
        <v>525</v>
      </c>
    </row>
    <row r="17" spans="1:11" x14ac:dyDescent="0.25">
      <c r="A17" s="19" t="s">
        <v>451</v>
      </c>
      <c r="B17" s="20" t="s">
        <v>621</v>
      </c>
      <c r="C17" s="20" t="s">
        <v>622</v>
      </c>
      <c r="D17" s="20" t="s">
        <v>622</v>
      </c>
      <c r="E17" s="20" t="s">
        <v>623</v>
      </c>
      <c r="H17" s="20" t="s">
        <v>624</v>
      </c>
      <c r="I17" s="20" t="s">
        <v>458</v>
      </c>
      <c r="J17" s="20" t="s">
        <v>621</v>
      </c>
      <c r="K17" s="20" t="s">
        <v>459</v>
      </c>
    </row>
    <row r="18" spans="1:11" x14ac:dyDescent="0.25">
      <c r="A18" s="19" t="s">
        <v>460</v>
      </c>
      <c r="B18" s="20" t="s">
        <v>625</v>
      </c>
      <c r="C18" s="20" t="s">
        <v>464</v>
      </c>
      <c r="D18" s="20" t="s">
        <v>625</v>
      </c>
      <c r="E18" s="20" t="s">
        <v>626</v>
      </c>
      <c r="H18" s="20" t="s">
        <v>465</v>
      </c>
      <c r="I18" s="20" t="s">
        <v>627</v>
      </c>
      <c r="J18" s="20" t="s">
        <v>628</v>
      </c>
      <c r="K18" s="20" t="s">
        <v>414</v>
      </c>
    </row>
    <row r="19" spans="1:11" x14ac:dyDescent="0.25">
      <c r="A19" s="65" t="s">
        <v>3079</v>
      </c>
      <c r="B19" s="20" t="s">
        <v>469</v>
      </c>
      <c r="C19" s="20" t="s">
        <v>470</v>
      </c>
      <c r="D19" s="20" t="s">
        <v>629</v>
      </c>
      <c r="E19" s="20" t="s">
        <v>469</v>
      </c>
      <c r="H19" s="20" t="s">
        <v>471</v>
      </c>
      <c r="I19" s="20" t="s">
        <v>472</v>
      </c>
      <c r="J19" s="20" t="s">
        <v>473</v>
      </c>
      <c r="K19" s="20" t="s">
        <v>474</v>
      </c>
    </row>
    <row r="20" spans="1:11" x14ac:dyDescent="0.25">
      <c r="A20" s="19" t="s">
        <v>475</v>
      </c>
      <c r="B20" s="20" t="s">
        <v>630</v>
      </c>
      <c r="C20" s="20" t="s">
        <v>630</v>
      </c>
      <c r="D20" s="20" t="s">
        <v>476</v>
      </c>
      <c r="E20" s="20" t="s">
        <v>630</v>
      </c>
      <c r="F20" s="20" t="s">
        <v>631</v>
      </c>
      <c r="G20" s="20" t="s">
        <v>632</v>
      </c>
      <c r="H20" s="20" t="s">
        <v>461</v>
      </c>
      <c r="I20" s="20" t="s">
        <v>631</v>
      </c>
      <c r="J20" s="20" t="s">
        <v>479</v>
      </c>
      <c r="K20" s="20" t="s">
        <v>480</v>
      </c>
    </row>
    <row r="21" spans="1:11" x14ac:dyDescent="0.25">
      <c r="A21" s="19" t="s">
        <v>481</v>
      </c>
      <c r="B21" s="20" t="s">
        <v>633</v>
      </c>
      <c r="C21" s="20" t="s">
        <v>611</v>
      </c>
      <c r="D21" s="20" t="s">
        <v>483</v>
      </c>
      <c r="E21" s="20" t="s">
        <v>634</v>
      </c>
      <c r="F21" s="20" t="s">
        <v>635</v>
      </c>
      <c r="G21" s="20" t="s">
        <v>490</v>
      </c>
      <c r="H21" s="20" t="s">
        <v>543</v>
      </c>
      <c r="I21" s="20" t="s">
        <v>636</v>
      </c>
      <c r="J21" s="20" t="s">
        <v>491</v>
      </c>
      <c r="K21" s="20" t="s">
        <v>637</v>
      </c>
    </row>
    <row r="22" spans="1:11" x14ac:dyDescent="0.25">
      <c r="A22" s="19" t="s">
        <v>492</v>
      </c>
      <c r="B22" s="20" t="s">
        <v>494</v>
      </c>
      <c r="C22" s="20" t="s">
        <v>495</v>
      </c>
      <c r="D22" s="20" t="s">
        <v>638</v>
      </c>
      <c r="E22" s="20" t="s">
        <v>639</v>
      </c>
      <c r="F22" s="20" t="s">
        <v>640</v>
      </c>
      <c r="G22" s="20" t="s">
        <v>641</v>
      </c>
      <c r="H22" s="20" t="s">
        <v>498</v>
      </c>
      <c r="I22" s="20" t="s">
        <v>642</v>
      </c>
      <c r="J22" s="20" t="s">
        <v>499</v>
      </c>
      <c r="K22" s="20" t="s">
        <v>500</v>
      </c>
    </row>
    <row r="23" spans="1:11" x14ac:dyDescent="0.25">
      <c r="A23" s="19" t="s">
        <v>501</v>
      </c>
      <c r="B23" s="123"/>
      <c r="C23" s="123"/>
      <c r="F23" s="20" t="s">
        <v>508</v>
      </c>
      <c r="G23" s="20" t="s">
        <v>503</v>
      </c>
    </row>
    <row r="24" spans="1:11" x14ac:dyDescent="0.25">
      <c r="A24" s="19" t="s">
        <v>504</v>
      </c>
      <c r="B24" s="20" t="s">
        <v>643</v>
      </c>
      <c r="C24" s="20" t="s">
        <v>343</v>
      </c>
      <c r="D24" s="20" t="s">
        <v>644</v>
      </c>
      <c r="E24" s="20" t="s">
        <v>583</v>
      </c>
      <c r="F24" s="20" t="s">
        <v>645</v>
      </c>
      <c r="G24" s="20" t="s">
        <v>646</v>
      </c>
      <c r="H24" s="20" t="s">
        <v>611</v>
      </c>
      <c r="I24" s="20" t="s">
        <v>647</v>
      </c>
      <c r="J24" s="20" t="s">
        <v>636</v>
      </c>
      <c r="K24" s="20" t="s">
        <v>648</v>
      </c>
    </row>
    <row r="25" spans="1:11" x14ac:dyDescent="0.25">
      <c r="A25" s="19" t="s">
        <v>649</v>
      </c>
      <c r="B25" s="20" t="s">
        <v>650</v>
      </c>
      <c r="C25" s="20" t="s">
        <v>651</v>
      </c>
      <c r="D25" s="20" t="s">
        <v>652</v>
      </c>
      <c r="E25" s="20" t="s">
        <v>653</v>
      </c>
      <c r="F25" s="20" t="s">
        <v>654</v>
      </c>
      <c r="G25" s="20" t="s">
        <v>337</v>
      </c>
      <c r="H25" s="20" t="s">
        <v>655</v>
      </c>
      <c r="I25" s="20" t="s">
        <v>656</v>
      </c>
      <c r="J25" s="20" t="s">
        <v>657</v>
      </c>
      <c r="K25" s="20" t="s">
        <v>658</v>
      </c>
    </row>
    <row r="26" spans="1:11" x14ac:dyDescent="0.25">
      <c r="A26" s="19" t="s">
        <v>659</v>
      </c>
      <c r="B26" s="20" t="s">
        <v>660</v>
      </c>
      <c r="C26" s="20" t="s">
        <v>661</v>
      </c>
      <c r="D26" s="20" t="s">
        <v>662</v>
      </c>
      <c r="E26" s="20" t="s">
        <v>663</v>
      </c>
      <c r="F26" s="20" t="s">
        <v>664</v>
      </c>
      <c r="G26" s="20" t="s">
        <v>665</v>
      </c>
      <c r="H26" s="20" t="s">
        <v>666</v>
      </c>
      <c r="I26" s="20" t="s">
        <v>667</v>
      </c>
      <c r="J26" s="20" t="s">
        <v>668</v>
      </c>
      <c r="K26" s="20" t="s">
        <v>669</v>
      </c>
    </row>
    <row r="27" spans="1:11" x14ac:dyDescent="0.25">
      <c r="A27" s="19" t="s">
        <v>670</v>
      </c>
      <c r="B27" s="20" t="s">
        <v>671</v>
      </c>
      <c r="C27" s="20" t="s">
        <v>672</v>
      </c>
      <c r="D27" s="20" t="s">
        <v>673</v>
      </c>
      <c r="E27" s="20" t="s">
        <v>416</v>
      </c>
      <c r="F27" s="20" t="s">
        <v>674</v>
      </c>
      <c r="G27" s="20" t="s">
        <v>675</v>
      </c>
      <c r="H27" s="20" t="s">
        <v>676</v>
      </c>
      <c r="I27" s="20" t="s">
        <v>677</v>
      </c>
      <c r="J27" s="20" t="s">
        <v>678</v>
      </c>
      <c r="K27" s="20" t="s">
        <v>436</v>
      </c>
    </row>
    <row r="28" spans="1:11" x14ac:dyDescent="0.25">
      <c r="A28" t="s">
        <v>532</v>
      </c>
      <c r="B28" s="20">
        <v>20</v>
      </c>
      <c r="C28" s="20">
        <v>20</v>
      </c>
      <c r="D28" s="20">
        <v>20</v>
      </c>
      <c r="E28" s="20">
        <v>20</v>
      </c>
      <c r="F28" s="20">
        <v>20</v>
      </c>
      <c r="G28" s="20">
        <v>20</v>
      </c>
      <c r="H28" s="20">
        <v>20</v>
      </c>
      <c r="I28" s="20">
        <v>20</v>
      </c>
      <c r="J28" s="20">
        <v>20</v>
      </c>
      <c r="K28" s="20">
        <v>20</v>
      </c>
    </row>
    <row r="29" spans="1:11" x14ac:dyDescent="0.25">
      <c r="A29" t="s">
        <v>533</v>
      </c>
      <c r="B29" s="20">
        <v>1827329</v>
      </c>
      <c r="C29" s="20">
        <v>1431932</v>
      </c>
      <c r="D29" s="20">
        <v>1827329</v>
      </c>
      <c r="E29" s="20">
        <v>1431932</v>
      </c>
      <c r="F29" s="20">
        <v>1827329</v>
      </c>
      <c r="G29" s="20">
        <v>1431932</v>
      </c>
      <c r="H29" s="20">
        <v>1827329</v>
      </c>
      <c r="I29" s="20">
        <v>1431932</v>
      </c>
      <c r="J29" s="20">
        <v>1827329</v>
      </c>
      <c r="K29" s="20">
        <v>1431932</v>
      </c>
    </row>
    <row r="30" spans="1:11" x14ac:dyDescent="0.25">
      <c r="A30" t="s">
        <v>534</v>
      </c>
      <c r="B30" s="20">
        <v>50710</v>
      </c>
      <c r="C30" s="20">
        <v>51054</v>
      </c>
      <c r="D30" s="20">
        <v>29984</v>
      </c>
      <c r="E30" s="20">
        <v>33090</v>
      </c>
      <c r="F30" s="20">
        <v>29467</v>
      </c>
      <c r="G30" s="20">
        <v>27088</v>
      </c>
      <c r="H30" s="20">
        <v>14667</v>
      </c>
      <c r="I30" s="20">
        <v>19085</v>
      </c>
      <c r="J30" s="20">
        <v>16486</v>
      </c>
      <c r="K30" s="20">
        <v>15155</v>
      </c>
    </row>
    <row r="31" spans="1:11" x14ac:dyDescent="0.25">
      <c r="A31" t="s">
        <v>679</v>
      </c>
      <c r="D31"/>
      <c r="E31"/>
      <c r="F31"/>
      <c r="G31"/>
      <c r="H31"/>
      <c r="I31"/>
      <c r="J31"/>
      <c r="K31"/>
    </row>
    <row r="32" spans="1:11" x14ac:dyDescent="0.25">
      <c r="D32"/>
      <c r="E32"/>
      <c r="F32"/>
      <c r="G32"/>
      <c r="H32"/>
      <c r="I32"/>
      <c r="J32"/>
      <c r="K32"/>
    </row>
    <row r="33" spans="1:11" x14ac:dyDescent="0.25">
      <c r="A33" s="18"/>
      <c r="D33"/>
      <c r="E33"/>
      <c r="F33"/>
      <c r="G33"/>
      <c r="H33"/>
      <c r="I33"/>
      <c r="J33"/>
      <c r="K33"/>
    </row>
  </sheetData>
  <mergeCells count="5">
    <mergeCell ref="B2:C2"/>
    <mergeCell ref="D2:E2"/>
    <mergeCell ref="F2:G2"/>
    <mergeCell ref="H2:I2"/>
    <mergeCell ref="J2:K2"/>
  </mergeCells>
  <pageMargins left="0.25" right="0.25" top="0.75" bottom="0.75" header="0.3" footer="0.3"/>
  <pageSetup scale="71" orientation="landscape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0594B-8ABB-43A3-B255-C61CBE24D747}">
  <sheetPr>
    <pageSetUpPr fitToPage="1"/>
  </sheetPr>
  <dimension ref="A1:K38"/>
  <sheetViews>
    <sheetView workbookViewId="0">
      <pane xSplit="1" ySplit="3" topLeftCell="B6" activePane="bottomRight" state="frozen"/>
      <selection pane="topRight" activeCell="B1" sqref="B1"/>
      <selection pane="bottomLeft" activeCell="A4" sqref="A4"/>
      <selection pane="bottomRight" activeCell="A19" sqref="A19"/>
    </sheetView>
  </sheetViews>
  <sheetFormatPr defaultRowHeight="15" x14ac:dyDescent="0.25"/>
  <cols>
    <col min="1" max="1" width="31" customWidth="1"/>
    <col min="2" max="11" width="15.85546875" style="20" customWidth="1"/>
  </cols>
  <sheetData>
    <row r="1" spans="1:11" x14ac:dyDescent="0.25">
      <c r="A1" s="65" t="s">
        <v>680</v>
      </c>
    </row>
    <row r="2" spans="1:11" x14ac:dyDescent="0.25">
      <c r="B2" s="192" t="s">
        <v>35</v>
      </c>
      <c r="C2" s="193"/>
      <c r="D2" s="190" t="s">
        <v>36</v>
      </c>
      <c r="E2" s="190"/>
      <c r="F2" s="190" t="s">
        <v>327</v>
      </c>
      <c r="G2" s="190"/>
      <c r="H2" s="190" t="s">
        <v>328</v>
      </c>
      <c r="I2" s="190"/>
      <c r="J2" s="190" t="s">
        <v>39</v>
      </c>
      <c r="K2" s="190"/>
    </row>
    <row r="3" spans="1:11" x14ac:dyDescent="0.25">
      <c r="A3" s="19" t="s">
        <v>329</v>
      </c>
      <c r="B3" s="124" t="s">
        <v>330</v>
      </c>
      <c r="C3" s="124" t="s">
        <v>331</v>
      </c>
      <c r="D3" s="123" t="s">
        <v>330</v>
      </c>
      <c r="E3" s="123" t="s">
        <v>331</v>
      </c>
      <c r="F3" s="123" t="s">
        <v>330</v>
      </c>
      <c r="G3" s="123" t="s">
        <v>331</v>
      </c>
      <c r="H3" s="123" t="s">
        <v>330</v>
      </c>
      <c r="I3" s="123" t="s">
        <v>331</v>
      </c>
      <c r="J3" s="123" t="s">
        <v>330</v>
      </c>
      <c r="K3" s="123" t="s">
        <v>331</v>
      </c>
    </row>
    <row r="4" spans="1:11" x14ac:dyDescent="0.25">
      <c r="A4" s="19" t="s">
        <v>332</v>
      </c>
      <c r="B4" s="20" t="s">
        <v>340</v>
      </c>
      <c r="C4" s="20" t="s">
        <v>681</v>
      </c>
      <c r="D4" s="20" t="s">
        <v>452</v>
      </c>
      <c r="E4" s="20" t="s">
        <v>682</v>
      </c>
      <c r="H4" s="20" t="s">
        <v>683</v>
      </c>
      <c r="I4" s="20" t="s">
        <v>684</v>
      </c>
      <c r="J4" s="20" t="s">
        <v>685</v>
      </c>
      <c r="K4" s="20" t="s">
        <v>416</v>
      </c>
    </row>
    <row r="5" spans="1:11" x14ac:dyDescent="0.25">
      <c r="A5" s="19" t="s">
        <v>341</v>
      </c>
      <c r="B5" s="20" t="s">
        <v>645</v>
      </c>
      <c r="C5" s="20" t="s">
        <v>343</v>
      </c>
      <c r="D5" s="20" t="s">
        <v>344</v>
      </c>
      <c r="E5" s="20" t="s">
        <v>542</v>
      </c>
      <c r="H5" s="20" t="s">
        <v>686</v>
      </c>
      <c r="I5" s="20" t="s">
        <v>543</v>
      </c>
      <c r="J5" s="20" t="s">
        <v>348</v>
      </c>
      <c r="K5" s="20" t="s">
        <v>349</v>
      </c>
    </row>
    <row r="6" spans="1:11" x14ac:dyDescent="0.25">
      <c r="A6" s="19" t="s">
        <v>350</v>
      </c>
      <c r="B6" s="20" t="s">
        <v>687</v>
      </c>
      <c r="C6" s="20" t="s">
        <v>688</v>
      </c>
      <c r="D6" s="20" t="s">
        <v>689</v>
      </c>
      <c r="E6" s="20" t="s">
        <v>690</v>
      </c>
      <c r="F6" s="20" t="s">
        <v>691</v>
      </c>
      <c r="G6" s="20" t="s">
        <v>692</v>
      </c>
      <c r="H6" s="20" t="s">
        <v>693</v>
      </c>
      <c r="I6" s="20" t="s">
        <v>694</v>
      </c>
      <c r="J6" s="20" t="s">
        <v>695</v>
      </c>
      <c r="K6" s="20" t="s">
        <v>696</v>
      </c>
    </row>
    <row r="7" spans="1:11" x14ac:dyDescent="0.25">
      <c r="A7" s="19" t="s">
        <v>361</v>
      </c>
      <c r="B7" s="20" t="s">
        <v>362</v>
      </c>
      <c r="C7" s="20" t="s">
        <v>697</v>
      </c>
      <c r="D7" s="20" t="s">
        <v>698</v>
      </c>
      <c r="E7" s="20" t="s">
        <v>699</v>
      </c>
      <c r="F7" s="20" t="s">
        <v>700</v>
      </c>
      <c r="G7" s="20" t="s">
        <v>701</v>
      </c>
      <c r="H7" s="20" t="s">
        <v>702</v>
      </c>
      <c r="I7" s="20" t="s">
        <v>558</v>
      </c>
      <c r="J7" s="20" t="s">
        <v>703</v>
      </c>
      <c r="K7" s="20" t="s">
        <v>704</v>
      </c>
    </row>
    <row r="8" spans="1:11" x14ac:dyDescent="0.25">
      <c r="A8" s="19" t="s">
        <v>372</v>
      </c>
      <c r="B8" s="20" t="s">
        <v>705</v>
      </c>
      <c r="C8" s="20" t="s">
        <v>706</v>
      </c>
      <c r="D8" s="20" t="s">
        <v>707</v>
      </c>
      <c r="E8" s="20" t="s">
        <v>708</v>
      </c>
      <c r="F8" s="20" t="s">
        <v>709</v>
      </c>
      <c r="G8" s="20" t="s">
        <v>710</v>
      </c>
      <c r="H8" s="20" t="s">
        <v>711</v>
      </c>
      <c r="I8" s="20" t="s">
        <v>712</v>
      </c>
      <c r="J8" s="20" t="s">
        <v>713</v>
      </c>
      <c r="K8" s="20" t="s">
        <v>714</v>
      </c>
    </row>
    <row r="9" spans="1:11" x14ac:dyDescent="0.25">
      <c r="A9" s="19" t="s">
        <v>383</v>
      </c>
      <c r="B9" s="20" t="s">
        <v>715</v>
      </c>
      <c r="C9" s="20" t="s">
        <v>716</v>
      </c>
      <c r="D9" s="20" t="s">
        <v>717</v>
      </c>
      <c r="E9" s="20" t="s">
        <v>718</v>
      </c>
      <c r="F9" s="20" t="s">
        <v>719</v>
      </c>
      <c r="G9" s="20" t="s">
        <v>720</v>
      </c>
      <c r="H9" s="20" t="s">
        <v>721</v>
      </c>
      <c r="I9" s="20" t="s">
        <v>722</v>
      </c>
      <c r="J9" s="20" t="s">
        <v>723</v>
      </c>
      <c r="K9" s="20" t="s">
        <v>724</v>
      </c>
    </row>
    <row r="10" spans="1:11" x14ac:dyDescent="0.25">
      <c r="A10" s="19" t="s">
        <v>393</v>
      </c>
      <c r="F10" s="20" t="s">
        <v>530</v>
      </c>
      <c r="G10" s="20" t="s">
        <v>725</v>
      </c>
    </row>
    <row r="11" spans="1:11" x14ac:dyDescent="0.25">
      <c r="A11" s="19" t="s">
        <v>396</v>
      </c>
      <c r="B11" s="123"/>
      <c r="C11" s="123"/>
      <c r="F11" s="20" t="s">
        <v>726</v>
      </c>
      <c r="G11" s="20" t="s">
        <v>727</v>
      </c>
    </row>
    <row r="12" spans="1:11" x14ac:dyDescent="0.25">
      <c r="A12" s="19" t="s">
        <v>399</v>
      </c>
      <c r="B12" s="20" t="s">
        <v>728</v>
      </c>
      <c r="C12" s="20" t="s">
        <v>729</v>
      </c>
      <c r="D12" s="20" t="s">
        <v>730</v>
      </c>
      <c r="E12" s="20" t="s">
        <v>731</v>
      </c>
      <c r="F12" s="20" t="s">
        <v>732</v>
      </c>
      <c r="G12" s="20" t="s">
        <v>733</v>
      </c>
      <c r="H12" s="20" t="s">
        <v>734</v>
      </c>
      <c r="I12" s="20" t="s">
        <v>735</v>
      </c>
      <c r="J12" s="20" t="s">
        <v>736</v>
      </c>
      <c r="K12" s="20" t="s">
        <v>737</v>
      </c>
    </row>
    <row r="13" spans="1:11" x14ac:dyDescent="0.25">
      <c r="A13" s="19" t="s">
        <v>410</v>
      </c>
      <c r="B13" s="20" t="s">
        <v>419</v>
      </c>
      <c r="C13" s="20" t="s">
        <v>738</v>
      </c>
      <c r="D13" s="20" t="s">
        <v>419</v>
      </c>
      <c r="E13" s="20" t="s">
        <v>414</v>
      </c>
      <c r="F13" s="20" t="s">
        <v>334</v>
      </c>
      <c r="G13" s="20" t="s">
        <v>340</v>
      </c>
      <c r="H13" s="20" t="s">
        <v>739</v>
      </c>
      <c r="I13" s="20" t="s">
        <v>738</v>
      </c>
      <c r="J13" s="20" t="s">
        <v>740</v>
      </c>
      <c r="K13" s="20" t="s">
        <v>741</v>
      </c>
    </row>
    <row r="14" spans="1:11" x14ac:dyDescent="0.25">
      <c r="A14" s="19" t="s">
        <v>420</v>
      </c>
      <c r="B14" s="20" t="s">
        <v>742</v>
      </c>
      <c r="C14" s="20" t="s">
        <v>743</v>
      </c>
      <c r="D14" s="20" t="s">
        <v>744</v>
      </c>
      <c r="E14" s="20" t="s">
        <v>745</v>
      </c>
      <c r="F14" s="20" t="s">
        <v>746</v>
      </c>
      <c r="G14" s="20" t="s">
        <v>747</v>
      </c>
      <c r="H14" s="20" t="s">
        <v>748</v>
      </c>
      <c r="I14" s="20" t="s">
        <v>749</v>
      </c>
      <c r="J14" s="20" t="s">
        <v>750</v>
      </c>
      <c r="K14" s="20" t="s">
        <v>751</v>
      </c>
    </row>
    <row r="15" spans="1:11" x14ac:dyDescent="0.25">
      <c r="A15" s="19" t="s">
        <v>431</v>
      </c>
      <c r="B15" s="20" t="s">
        <v>752</v>
      </c>
      <c r="C15" s="20" t="s">
        <v>753</v>
      </c>
      <c r="D15" s="20" t="s">
        <v>500</v>
      </c>
      <c r="E15" s="20" t="s">
        <v>754</v>
      </c>
      <c r="H15" s="20" t="s">
        <v>755</v>
      </c>
      <c r="I15" s="20" t="s">
        <v>756</v>
      </c>
      <c r="J15" s="20" t="s">
        <v>757</v>
      </c>
      <c r="K15" s="20" t="s">
        <v>758</v>
      </c>
    </row>
    <row r="16" spans="1:11" x14ac:dyDescent="0.25">
      <c r="A16" s="19" t="s">
        <v>440</v>
      </c>
      <c r="B16" s="20" t="s">
        <v>759</v>
      </c>
      <c r="C16" s="20" t="s">
        <v>647</v>
      </c>
      <c r="D16" s="20" t="s">
        <v>760</v>
      </c>
      <c r="E16" s="20" t="s">
        <v>761</v>
      </c>
      <c r="F16" s="20" t="s">
        <v>762</v>
      </c>
      <c r="G16" s="20" t="s">
        <v>763</v>
      </c>
      <c r="H16" s="20" t="s">
        <v>764</v>
      </c>
      <c r="I16" s="20" t="s">
        <v>765</v>
      </c>
      <c r="J16" s="20" t="s">
        <v>766</v>
      </c>
      <c r="K16" s="20" t="s">
        <v>767</v>
      </c>
    </row>
    <row r="17" spans="1:11" x14ac:dyDescent="0.25">
      <c r="A17" s="19" t="s">
        <v>451</v>
      </c>
      <c r="B17" s="20" t="s">
        <v>768</v>
      </c>
      <c r="C17" s="20" t="s">
        <v>769</v>
      </c>
      <c r="D17" s="20" t="s">
        <v>770</v>
      </c>
      <c r="E17" s="20" t="s">
        <v>771</v>
      </c>
      <c r="H17" s="20" t="s">
        <v>772</v>
      </c>
      <c r="I17" s="20" t="s">
        <v>773</v>
      </c>
      <c r="J17" s="20" t="s">
        <v>774</v>
      </c>
      <c r="K17" s="20" t="s">
        <v>775</v>
      </c>
    </row>
    <row r="18" spans="1:11" x14ac:dyDescent="0.25">
      <c r="A18" s="19" t="s">
        <v>460</v>
      </c>
      <c r="B18" s="20" t="s">
        <v>631</v>
      </c>
      <c r="C18" s="20" t="s">
        <v>462</v>
      </c>
      <c r="D18" s="20" t="s">
        <v>465</v>
      </c>
      <c r="E18" s="20" t="s">
        <v>776</v>
      </c>
      <c r="H18" s="20" t="s">
        <v>777</v>
      </c>
      <c r="I18" s="20" t="s">
        <v>465</v>
      </c>
      <c r="J18" s="20" t="s">
        <v>647</v>
      </c>
      <c r="K18" s="20" t="s">
        <v>594</v>
      </c>
    </row>
    <row r="19" spans="1:11" x14ac:dyDescent="0.25">
      <c r="A19" s="65" t="s">
        <v>3079</v>
      </c>
      <c r="B19" s="20" t="s">
        <v>467</v>
      </c>
      <c r="C19" s="20" t="s">
        <v>468</v>
      </c>
      <c r="D19" s="20" t="s">
        <v>467</v>
      </c>
      <c r="E19" s="20" t="s">
        <v>470</v>
      </c>
      <c r="H19" s="20" t="s">
        <v>586</v>
      </c>
      <c r="I19" s="20" t="s">
        <v>778</v>
      </c>
      <c r="J19" s="20" t="s">
        <v>779</v>
      </c>
      <c r="K19" s="20" t="s">
        <v>474</v>
      </c>
    </row>
    <row r="20" spans="1:11" x14ac:dyDescent="0.25">
      <c r="A20" s="19" t="s">
        <v>475</v>
      </c>
      <c r="B20" s="20" t="s">
        <v>630</v>
      </c>
      <c r="C20" s="20" t="s">
        <v>780</v>
      </c>
      <c r="D20" s="20" t="s">
        <v>545</v>
      </c>
      <c r="E20" s="20" t="s">
        <v>630</v>
      </c>
      <c r="F20" s="20" t="s">
        <v>343</v>
      </c>
      <c r="G20" s="20" t="s">
        <v>506</v>
      </c>
      <c r="H20" s="20" t="s">
        <v>631</v>
      </c>
      <c r="I20" s="20" t="s">
        <v>631</v>
      </c>
      <c r="J20" s="20" t="s">
        <v>505</v>
      </c>
      <c r="K20" s="20" t="s">
        <v>781</v>
      </c>
    </row>
    <row r="21" spans="1:11" x14ac:dyDescent="0.25">
      <c r="A21" s="19" t="s">
        <v>481</v>
      </c>
      <c r="B21" s="20" t="s">
        <v>482</v>
      </c>
      <c r="C21" s="20" t="s">
        <v>483</v>
      </c>
      <c r="D21" s="20" t="s">
        <v>782</v>
      </c>
      <c r="E21" s="20" t="s">
        <v>633</v>
      </c>
      <c r="F21" s="20" t="s">
        <v>783</v>
      </c>
      <c r="G21" s="20" t="s">
        <v>784</v>
      </c>
      <c r="H21" s="20" t="s">
        <v>785</v>
      </c>
      <c r="I21" s="20" t="s">
        <v>489</v>
      </c>
      <c r="J21" s="20" t="s">
        <v>786</v>
      </c>
      <c r="K21" s="20" t="s">
        <v>787</v>
      </c>
    </row>
    <row r="22" spans="1:11" x14ac:dyDescent="0.25">
      <c r="A22" s="19" t="s">
        <v>492</v>
      </c>
      <c r="B22" s="20" t="s">
        <v>788</v>
      </c>
      <c r="C22" s="20" t="s">
        <v>442</v>
      </c>
      <c r="D22" s="20" t="s">
        <v>789</v>
      </c>
      <c r="E22" s="20" t="s">
        <v>790</v>
      </c>
      <c r="F22" s="20" t="s">
        <v>791</v>
      </c>
      <c r="G22" s="20" t="s">
        <v>792</v>
      </c>
      <c r="H22" s="20" t="s">
        <v>793</v>
      </c>
      <c r="I22" s="20" t="s">
        <v>499</v>
      </c>
      <c r="J22" s="20" t="s">
        <v>794</v>
      </c>
      <c r="K22" s="20" t="s">
        <v>795</v>
      </c>
    </row>
    <row r="23" spans="1:11" x14ac:dyDescent="0.25">
      <c r="A23" s="19" t="s">
        <v>501</v>
      </c>
      <c r="B23" s="123"/>
      <c r="C23" s="123"/>
      <c r="F23" s="20" t="s">
        <v>503</v>
      </c>
      <c r="G23" s="20" t="s">
        <v>414</v>
      </c>
    </row>
    <row r="24" spans="1:11" x14ac:dyDescent="0.25">
      <c r="A24" s="19" t="s">
        <v>504</v>
      </c>
      <c r="B24" s="20" t="s">
        <v>643</v>
      </c>
      <c r="C24" s="20" t="s">
        <v>480</v>
      </c>
      <c r="D24" s="20" t="s">
        <v>643</v>
      </c>
      <c r="E24" s="20" t="s">
        <v>631</v>
      </c>
      <c r="F24" s="20" t="s">
        <v>645</v>
      </c>
      <c r="G24" s="20" t="s">
        <v>796</v>
      </c>
      <c r="H24" s="20" t="s">
        <v>611</v>
      </c>
      <c r="I24" s="20" t="s">
        <v>797</v>
      </c>
      <c r="J24" s="20" t="s">
        <v>648</v>
      </c>
      <c r="K24" s="20" t="s">
        <v>636</v>
      </c>
    </row>
    <row r="25" spans="1:11" x14ac:dyDescent="0.25">
      <c r="A25" s="19" t="s">
        <v>798</v>
      </c>
      <c r="B25" s="20" t="s">
        <v>799</v>
      </c>
      <c r="C25" s="20" t="s">
        <v>657</v>
      </c>
      <c r="D25" s="20" t="s">
        <v>800</v>
      </c>
      <c r="E25" s="20" t="s">
        <v>801</v>
      </c>
      <c r="F25" s="20" t="s">
        <v>802</v>
      </c>
      <c r="G25" s="20" t="s">
        <v>803</v>
      </c>
      <c r="H25" s="20" t="s">
        <v>804</v>
      </c>
      <c r="I25" s="20" t="s">
        <v>805</v>
      </c>
      <c r="J25" s="20" t="s">
        <v>806</v>
      </c>
      <c r="K25" s="20" t="s">
        <v>807</v>
      </c>
    </row>
    <row r="26" spans="1:11" x14ac:dyDescent="0.25">
      <c r="A26" s="19" t="s">
        <v>808</v>
      </c>
      <c r="B26" s="20" t="s">
        <v>809</v>
      </c>
      <c r="C26" s="20" t="s">
        <v>810</v>
      </c>
      <c r="D26" s="20" t="s">
        <v>811</v>
      </c>
      <c r="E26" s="20" t="s">
        <v>812</v>
      </c>
      <c r="F26" s="20" t="s">
        <v>813</v>
      </c>
      <c r="G26" s="20" t="s">
        <v>814</v>
      </c>
      <c r="H26" s="20" t="s">
        <v>815</v>
      </c>
      <c r="I26" s="20" t="s">
        <v>816</v>
      </c>
      <c r="J26" s="20" t="s">
        <v>817</v>
      </c>
      <c r="K26" s="20" t="s">
        <v>818</v>
      </c>
    </row>
    <row r="27" spans="1:11" x14ac:dyDescent="0.25">
      <c r="A27" s="19" t="s">
        <v>819</v>
      </c>
      <c r="B27" s="20" t="s">
        <v>820</v>
      </c>
      <c r="C27" s="20" t="s">
        <v>821</v>
      </c>
      <c r="D27" s="20" t="s">
        <v>822</v>
      </c>
      <c r="E27" s="20" t="s">
        <v>823</v>
      </c>
      <c r="F27" s="20" t="s">
        <v>824</v>
      </c>
      <c r="G27" s="20" t="s">
        <v>825</v>
      </c>
      <c r="H27" s="20" t="s">
        <v>337</v>
      </c>
      <c r="I27" s="20" t="s">
        <v>826</v>
      </c>
      <c r="J27" s="20" t="s">
        <v>827</v>
      </c>
      <c r="K27" s="20" t="s">
        <v>828</v>
      </c>
    </row>
    <row r="28" spans="1:11" x14ac:dyDescent="0.25">
      <c r="A28" t="s">
        <v>532</v>
      </c>
      <c r="B28" s="20">
        <v>18</v>
      </c>
      <c r="C28" s="20">
        <v>18</v>
      </c>
      <c r="D28" s="20">
        <v>18</v>
      </c>
      <c r="E28" s="20">
        <v>18</v>
      </c>
      <c r="F28" s="20">
        <v>18</v>
      </c>
      <c r="G28" s="20">
        <v>18</v>
      </c>
      <c r="H28" s="20">
        <v>18</v>
      </c>
      <c r="I28" s="20">
        <v>18</v>
      </c>
      <c r="J28" s="20">
        <v>18</v>
      </c>
      <c r="K28" s="20">
        <v>18</v>
      </c>
    </row>
    <row r="29" spans="1:11" x14ac:dyDescent="0.25">
      <c r="A29" t="s">
        <v>533</v>
      </c>
      <c r="B29" s="20">
        <v>1734246</v>
      </c>
      <c r="C29" s="20">
        <v>1356397</v>
      </c>
      <c r="D29" s="20">
        <v>1734246</v>
      </c>
      <c r="E29" s="20">
        <v>1356397</v>
      </c>
      <c r="F29" s="20">
        <v>1734246</v>
      </c>
      <c r="G29" s="20">
        <v>1356397</v>
      </c>
      <c r="H29" s="20">
        <v>1734246</v>
      </c>
      <c r="I29" s="20">
        <v>1356397</v>
      </c>
      <c r="J29" s="20">
        <v>1734246</v>
      </c>
      <c r="K29" s="20">
        <v>1356397</v>
      </c>
    </row>
    <row r="30" spans="1:11" x14ac:dyDescent="0.25">
      <c r="A30" t="s">
        <v>534</v>
      </c>
      <c r="B30" s="20">
        <v>45841</v>
      </c>
      <c r="C30" s="20">
        <v>45840</v>
      </c>
      <c r="D30" s="20">
        <v>27254</v>
      </c>
      <c r="E30" s="20">
        <v>29720</v>
      </c>
      <c r="F30" s="20">
        <v>26860</v>
      </c>
      <c r="G30" s="20">
        <v>24546</v>
      </c>
      <c r="H30" s="20">
        <v>13506</v>
      </c>
      <c r="I30" s="20">
        <v>17382</v>
      </c>
      <c r="J30" s="20">
        <v>15301</v>
      </c>
      <c r="K30" s="20">
        <v>13872</v>
      </c>
    </row>
    <row r="31" spans="1:11" x14ac:dyDescent="0.25">
      <c r="A31" t="s">
        <v>829</v>
      </c>
      <c r="D31"/>
      <c r="E31"/>
      <c r="F31"/>
      <c r="G31"/>
      <c r="H31"/>
      <c r="I31"/>
      <c r="J31"/>
      <c r="K31"/>
    </row>
    <row r="32" spans="1:11" x14ac:dyDescent="0.25">
      <c r="A32" s="18"/>
      <c r="D32"/>
      <c r="E32"/>
      <c r="F32"/>
      <c r="G32"/>
      <c r="H32"/>
      <c r="I32"/>
      <c r="J32"/>
      <c r="K32"/>
    </row>
    <row r="33" spans="4:11" x14ac:dyDescent="0.25">
      <c r="D33"/>
      <c r="E33"/>
      <c r="F33"/>
      <c r="G33"/>
      <c r="H33"/>
      <c r="I33"/>
      <c r="J33"/>
      <c r="K33"/>
    </row>
    <row r="34" spans="4:11" x14ac:dyDescent="0.25">
      <c r="D34"/>
      <c r="E34"/>
      <c r="F34"/>
      <c r="G34"/>
      <c r="H34"/>
      <c r="I34"/>
      <c r="J34"/>
      <c r="K34"/>
    </row>
    <row r="35" spans="4:11" x14ac:dyDescent="0.25">
      <c r="D35"/>
      <c r="E35"/>
      <c r="F35"/>
      <c r="G35"/>
      <c r="H35"/>
      <c r="I35"/>
      <c r="J35"/>
      <c r="K35"/>
    </row>
    <row r="36" spans="4:11" x14ac:dyDescent="0.25">
      <c r="D36"/>
      <c r="E36"/>
      <c r="F36"/>
      <c r="G36"/>
      <c r="H36"/>
      <c r="I36"/>
      <c r="J36"/>
      <c r="K36"/>
    </row>
    <row r="37" spans="4:11" x14ac:dyDescent="0.25">
      <c r="D37"/>
      <c r="E37"/>
      <c r="F37"/>
      <c r="G37"/>
      <c r="H37"/>
      <c r="I37"/>
      <c r="J37"/>
      <c r="K37"/>
    </row>
    <row r="38" spans="4:11" x14ac:dyDescent="0.25">
      <c r="D38"/>
      <c r="E38"/>
      <c r="F38"/>
      <c r="G38"/>
      <c r="H38"/>
      <c r="I38"/>
      <c r="J38"/>
      <c r="K38"/>
    </row>
  </sheetData>
  <mergeCells count="5">
    <mergeCell ref="B2:C2"/>
    <mergeCell ref="D2:E2"/>
    <mergeCell ref="F2:G2"/>
    <mergeCell ref="H2:I2"/>
    <mergeCell ref="J2:K2"/>
  </mergeCells>
  <pageMargins left="0.25" right="0.25" top="0.75" bottom="0.75" header="0.3" footer="0.3"/>
  <pageSetup scale="71" orientation="landscape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D4CF1-7F77-4627-A33C-6CA1173A986A}">
  <sheetPr>
    <pageSetUpPr fitToPage="1"/>
  </sheetPr>
  <dimension ref="A1:M45"/>
  <sheetViews>
    <sheetView zoomScale="96" workbookViewId="0">
      <pane xSplit="1" ySplit="3" topLeftCell="G4" activePane="bottomRight" state="frozen"/>
      <selection pane="topRight" activeCell="B1" sqref="B1"/>
      <selection pane="bottomLeft" activeCell="A5" sqref="A5"/>
      <selection pane="bottomRight" activeCell="L31" sqref="L31"/>
    </sheetView>
  </sheetViews>
  <sheetFormatPr defaultRowHeight="15" x14ac:dyDescent="0.25"/>
  <cols>
    <col min="1" max="1" width="40" customWidth="1"/>
    <col min="2" max="11" width="20.85546875" style="20" customWidth="1"/>
    <col min="12" max="12" width="18.85546875" style="1" customWidth="1"/>
    <col min="13" max="17" width="18.85546875" customWidth="1"/>
  </cols>
  <sheetData>
    <row r="1" spans="1:12" ht="15.75" thickBot="1" x14ac:dyDescent="0.3">
      <c r="A1" s="66" t="s">
        <v>830</v>
      </c>
    </row>
    <row r="2" spans="1:12" x14ac:dyDescent="0.25">
      <c r="A2" s="67"/>
      <c r="B2" s="197" t="s">
        <v>35</v>
      </c>
      <c r="C2" s="198"/>
      <c r="D2" s="197" t="s">
        <v>36</v>
      </c>
      <c r="E2" s="198"/>
      <c r="F2" s="197" t="s">
        <v>327</v>
      </c>
      <c r="G2" s="198"/>
      <c r="H2" s="197" t="s">
        <v>328</v>
      </c>
      <c r="I2" s="198"/>
      <c r="J2" s="199" t="s">
        <v>39</v>
      </c>
      <c r="K2" s="200"/>
    </row>
    <row r="3" spans="1:12" ht="15.75" thickBot="1" x14ac:dyDescent="0.3">
      <c r="A3" s="61"/>
      <c r="B3" s="75" t="s">
        <v>330</v>
      </c>
      <c r="C3" s="75" t="s">
        <v>331</v>
      </c>
      <c r="D3" s="75" t="s">
        <v>330</v>
      </c>
      <c r="E3" s="75" t="s">
        <v>331</v>
      </c>
      <c r="F3" s="75" t="s">
        <v>330</v>
      </c>
      <c r="G3" s="75" t="s">
        <v>331</v>
      </c>
      <c r="H3" s="75" t="s">
        <v>330</v>
      </c>
      <c r="I3" s="75" t="s">
        <v>331</v>
      </c>
      <c r="J3" s="75" t="s">
        <v>330</v>
      </c>
      <c r="K3" s="76" t="s">
        <v>331</v>
      </c>
      <c r="L3" s="45"/>
    </row>
    <row r="4" spans="1:12" x14ac:dyDescent="0.25">
      <c r="A4" s="201" t="s">
        <v>831</v>
      </c>
      <c r="B4" s="202"/>
      <c r="C4" s="202"/>
      <c r="D4" s="202"/>
      <c r="E4" s="202"/>
      <c r="F4" s="202"/>
      <c r="G4" s="202"/>
      <c r="H4" s="202"/>
      <c r="I4" s="202"/>
      <c r="J4" s="202"/>
      <c r="K4" s="203"/>
    </row>
    <row r="5" spans="1:12" x14ac:dyDescent="0.25">
      <c r="A5" s="50" t="s">
        <v>532</v>
      </c>
      <c r="B5" s="27">
        <v>25</v>
      </c>
      <c r="C5" s="27">
        <v>25</v>
      </c>
      <c r="D5" s="27">
        <v>24</v>
      </c>
      <c r="E5" s="27">
        <v>25</v>
      </c>
      <c r="F5" s="27">
        <v>24</v>
      </c>
      <c r="G5" s="27">
        <v>25</v>
      </c>
      <c r="H5" s="27">
        <v>24</v>
      </c>
      <c r="I5" s="27">
        <v>25</v>
      </c>
      <c r="J5" s="27">
        <v>24</v>
      </c>
      <c r="K5" s="30">
        <v>25</v>
      </c>
    </row>
    <row r="6" spans="1:12" x14ac:dyDescent="0.25">
      <c r="A6" s="48" t="s">
        <v>533</v>
      </c>
      <c r="B6" s="25">
        <v>1839828</v>
      </c>
      <c r="C6" s="23">
        <v>1442091</v>
      </c>
      <c r="D6" s="23">
        <v>1838412</v>
      </c>
      <c r="E6" s="23">
        <v>1442091</v>
      </c>
      <c r="F6" s="23">
        <v>1838412</v>
      </c>
      <c r="G6" s="58">
        <v>1442091</v>
      </c>
      <c r="H6" s="23">
        <v>1838412</v>
      </c>
      <c r="I6" s="23">
        <v>1442091</v>
      </c>
      <c r="J6" s="23">
        <v>1838412</v>
      </c>
      <c r="K6" s="24">
        <v>1442091</v>
      </c>
    </row>
    <row r="7" spans="1:12" x14ac:dyDescent="0.25">
      <c r="A7" s="48" t="s">
        <v>534</v>
      </c>
      <c r="B7" s="23">
        <v>48982</v>
      </c>
      <c r="C7" s="23">
        <v>49535</v>
      </c>
      <c r="D7" s="23">
        <v>28967</v>
      </c>
      <c r="E7" s="23">
        <v>32095</v>
      </c>
      <c r="F7" s="23">
        <v>28399</v>
      </c>
      <c r="G7" s="58">
        <v>26125</v>
      </c>
      <c r="H7" s="23">
        <v>14342</v>
      </c>
      <c r="I7" s="23">
        <v>18885</v>
      </c>
      <c r="J7" s="23">
        <v>16123</v>
      </c>
      <c r="K7" s="24">
        <v>14656</v>
      </c>
    </row>
    <row r="8" spans="1:12" x14ac:dyDescent="0.25">
      <c r="A8" s="194" t="s">
        <v>832</v>
      </c>
      <c r="B8" s="195"/>
      <c r="C8" s="195"/>
      <c r="D8" s="195"/>
      <c r="E8" s="195"/>
      <c r="F8" s="195"/>
      <c r="G8" s="195"/>
      <c r="H8" s="195"/>
      <c r="I8" s="195"/>
      <c r="J8" s="195"/>
      <c r="K8" s="196"/>
    </row>
    <row r="9" spans="1:12" s="47" customFormat="1" x14ac:dyDescent="0.25">
      <c r="A9" s="53" t="s">
        <v>833</v>
      </c>
      <c r="B9" s="25" t="s">
        <v>834</v>
      </c>
      <c r="C9" s="25" t="s">
        <v>835</v>
      </c>
      <c r="D9" s="25" t="s">
        <v>836</v>
      </c>
      <c r="E9" s="25" t="s">
        <v>837</v>
      </c>
      <c r="F9" s="25" t="s">
        <v>838</v>
      </c>
      <c r="G9" s="56" t="s">
        <v>839</v>
      </c>
      <c r="H9" s="25" t="s">
        <v>840</v>
      </c>
      <c r="I9" s="25" t="s">
        <v>841</v>
      </c>
      <c r="J9" s="25" t="s">
        <v>842</v>
      </c>
      <c r="K9" s="34" t="s">
        <v>843</v>
      </c>
      <c r="L9" s="46"/>
    </row>
    <row r="10" spans="1:12" x14ac:dyDescent="0.25">
      <c r="A10" s="48" t="s">
        <v>844</v>
      </c>
      <c r="B10" s="23" t="s">
        <v>845</v>
      </c>
      <c r="C10" s="23" t="s">
        <v>846</v>
      </c>
      <c r="D10" s="23" t="s">
        <v>847</v>
      </c>
      <c r="E10" s="23" t="s">
        <v>848</v>
      </c>
      <c r="F10" s="23" t="s">
        <v>849</v>
      </c>
      <c r="G10" s="58" t="s">
        <v>850</v>
      </c>
      <c r="H10" s="23" t="s">
        <v>851</v>
      </c>
      <c r="I10" s="23" t="s">
        <v>852</v>
      </c>
      <c r="J10" s="23" t="s">
        <v>853</v>
      </c>
      <c r="K10" s="24" t="s">
        <v>854</v>
      </c>
    </row>
    <row r="11" spans="1:12" x14ac:dyDescent="0.25">
      <c r="A11" s="194" t="s">
        <v>855</v>
      </c>
      <c r="B11" s="195"/>
      <c r="C11" s="195"/>
      <c r="D11" s="195"/>
      <c r="E11" s="195"/>
      <c r="F11" s="195"/>
      <c r="G11" s="195"/>
      <c r="H11" s="195"/>
      <c r="I11" s="195"/>
      <c r="J11" s="195"/>
      <c r="K11" s="196"/>
    </row>
    <row r="12" spans="1:12" s="47" customFormat="1" x14ac:dyDescent="0.25">
      <c r="A12" s="53" t="s">
        <v>833</v>
      </c>
      <c r="B12" s="25" t="s">
        <v>856</v>
      </c>
      <c r="C12" s="25" t="s">
        <v>857</v>
      </c>
      <c r="D12" s="25" t="s">
        <v>858</v>
      </c>
      <c r="E12" s="25" t="s">
        <v>859</v>
      </c>
      <c r="F12" s="25" t="s">
        <v>860</v>
      </c>
      <c r="G12" s="56" t="s">
        <v>861</v>
      </c>
      <c r="H12" s="25" t="s">
        <v>862</v>
      </c>
      <c r="I12" s="25" t="s">
        <v>863</v>
      </c>
      <c r="J12" s="25" t="s">
        <v>864</v>
      </c>
      <c r="K12" s="34" t="s">
        <v>865</v>
      </c>
      <c r="L12" s="46"/>
    </row>
    <row r="13" spans="1:12" x14ac:dyDescent="0.25">
      <c r="A13" s="48" t="s">
        <v>866</v>
      </c>
      <c r="B13" s="23" t="s">
        <v>867</v>
      </c>
      <c r="C13" s="23" t="s">
        <v>868</v>
      </c>
      <c r="D13" s="23" t="s">
        <v>869</v>
      </c>
      <c r="E13" s="23" t="s">
        <v>870</v>
      </c>
      <c r="F13" s="23" t="s">
        <v>871</v>
      </c>
      <c r="G13" s="58" t="s">
        <v>872</v>
      </c>
      <c r="H13" s="23" t="s">
        <v>869</v>
      </c>
      <c r="I13" s="23" t="s">
        <v>873</v>
      </c>
      <c r="J13" s="23" t="s">
        <v>873</v>
      </c>
      <c r="K13" s="24" t="s">
        <v>870</v>
      </c>
    </row>
    <row r="14" spans="1:12" x14ac:dyDescent="0.25">
      <c r="A14" s="48" t="s">
        <v>874</v>
      </c>
      <c r="B14" s="23" t="s">
        <v>875</v>
      </c>
      <c r="C14" s="23" t="s">
        <v>876</v>
      </c>
      <c r="D14" s="23" t="s">
        <v>877</v>
      </c>
      <c r="E14" s="23" t="s">
        <v>878</v>
      </c>
      <c r="F14" s="23" t="s">
        <v>879</v>
      </c>
      <c r="G14" s="58" t="s">
        <v>880</v>
      </c>
      <c r="H14" s="23" t="s">
        <v>881</v>
      </c>
      <c r="I14" s="23" t="s">
        <v>882</v>
      </c>
      <c r="J14" s="23" t="s">
        <v>883</v>
      </c>
      <c r="K14" s="24" t="s">
        <v>884</v>
      </c>
    </row>
    <row r="15" spans="1:12" s="33" customFormat="1" ht="15.75" thickBot="1" x14ac:dyDescent="0.3">
      <c r="A15" s="51" t="s">
        <v>844</v>
      </c>
      <c r="B15" s="29" t="s">
        <v>885</v>
      </c>
      <c r="C15" s="29" t="s">
        <v>886</v>
      </c>
      <c r="D15" s="29" t="s">
        <v>887</v>
      </c>
      <c r="E15" s="29" t="s">
        <v>888</v>
      </c>
      <c r="F15" s="29" t="s">
        <v>889</v>
      </c>
      <c r="G15" s="57" t="s">
        <v>890</v>
      </c>
      <c r="H15" s="29" t="s">
        <v>891</v>
      </c>
      <c r="I15" s="29" t="s">
        <v>892</v>
      </c>
      <c r="J15" s="29" t="s">
        <v>893</v>
      </c>
      <c r="K15" s="32" t="s">
        <v>894</v>
      </c>
    </row>
    <row r="16" spans="1:12" s="33" customFormat="1" ht="15" customHeight="1" x14ac:dyDescent="0.25">
      <c r="A16" s="201" t="s">
        <v>895</v>
      </c>
      <c r="B16" s="202"/>
      <c r="C16" s="202"/>
      <c r="D16" s="202"/>
      <c r="E16" s="202"/>
      <c r="F16" s="202"/>
      <c r="G16" s="202"/>
      <c r="H16" s="202"/>
      <c r="I16" s="202"/>
      <c r="J16" s="202"/>
      <c r="K16" s="203"/>
    </row>
    <row r="17" spans="1:13" s="52" customFormat="1" x14ac:dyDescent="0.25">
      <c r="A17" s="48" t="s">
        <v>532</v>
      </c>
      <c r="B17" s="25">
        <v>20</v>
      </c>
      <c r="C17" s="25">
        <v>20</v>
      </c>
      <c r="D17" s="25">
        <v>20</v>
      </c>
      <c r="E17" s="25">
        <v>20</v>
      </c>
      <c r="F17" s="25">
        <v>20</v>
      </c>
      <c r="G17" s="56">
        <v>20</v>
      </c>
      <c r="H17" s="25">
        <v>20</v>
      </c>
      <c r="I17" s="25">
        <v>20</v>
      </c>
      <c r="J17" s="25">
        <v>20</v>
      </c>
      <c r="K17" s="34">
        <v>20</v>
      </c>
      <c r="L17" s="33"/>
      <c r="M17" s="33"/>
    </row>
    <row r="18" spans="1:13" s="52" customFormat="1" x14ac:dyDescent="0.25">
      <c r="A18" s="48" t="s">
        <v>533</v>
      </c>
      <c r="B18" s="25">
        <v>1827329</v>
      </c>
      <c r="C18" s="25">
        <v>1431932</v>
      </c>
      <c r="D18" s="25">
        <v>1827329</v>
      </c>
      <c r="E18" s="25">
        <v>1431932</v>
      </c>
      <c r="F18" s="25">
        <v>1827329</v>
      </c>
      <c r="G18" s="56">
        <v>1431932</v>
      </c>
      <c r="H18" s="25">
        <v>1827329</v>
      </c>
      <c r="I18" s="25">
        <v>1431932</v>
      </c>
      <c r="J18" s="25">
        <v>1827329</v>
      </c>
      <c r="K18" s="34">
        <v>1431932</v>
      </c>
    </row>
    <row r="19" spans="1:13" s="33" customFormat="1" x14ac:dyDescent="0.25">
      <c r="A19" s="55" t="s">
        <v>534</v>
      </c>
      <c r="B19" s="25">
        <v>47777</v>
      </c>
      <c r="C19" s="25">
        <v>48269</v>
      </c>
      <c r="D19" s="25">
        <v>28092</v>
      </c>
      <c r="E19" s="25">
        <v>31156</v>
      </c>
      <c r="F19" s="25">
        <v>28074</v>
      </c>
      <c r="G19" s="56">
        <v>25543</v>
      </c>
      <c r="H19" s="25">
        <v>13817</v>
      </c>
      <c r="I19" s="25">
        <v>18210</v>
      </c>
      <c r="J19" s="25">
        <v>15705</v>
      </c>
      <c r="K19" s="34">
        <v>14346</v>
      </c>
    </row>
    <row r="20" spans="1:13" s="52" customFormat="1" x14ac:dyDescent="0.25">
      <c r="A20" s="48" t="s">
        <v>896</v>
      </c>
      <c r="B20" s="25" t="s">
        <v>897</v>
      </c>
      <c r="C20" s="25" t="s">
        <v>898</v>
      </c>
      <c r="D20" s="25" t="s">
        <v>899</v>
      </c>
      <c r="E20" s="25" t="s">
        <v>900</v>
      </c>
      <c r="F20" s="25" t="s">
        <v>901</v>
      </c>
      <c r="G20" s="56" t="s">
        <v>902</v>
      </c>
      <c r="H20" s="25" t="s">
        <v>903</v>
      </c>
      <c r="I20" s="25" t="s">
        <v>904</v>
      </c>
      <c r="J20" s="25" t="s">
        <v>905</v>
      </c>
      <c r="K20" s="34" t="s">
        <v>906</v>
      </c>
    </row>
    <row r="21" spans="1:13" s="52" customFormat="1" x14ac:dyDescent="0.25">
      <c r="A21" s="194" t="s">
        <v>907</v>
      </c>
      <c r="B21" s="195"/>
      <c r="C21" s="195"/>
      <c r="D21" s="195"/>
      <c r="E21" s="195"/>
      <c r="F21" s="195"/>
      <c r="G21" s="195"/>
      <c r="H21" s="195"/>
      <c r="I21" s="195"/>
      <c r="J21" s="195"/>
      <c r="K21" s="196"/>
    </row>
    <row r="22" spans="1:13" s="52" customFormat="1" x14ac:dyDescent="0.25">
      <c r="A22" s="48" t="s">
        <v>833</v>
      </c>
      <c r="B22" s="25" t="s">
        <v>908</v>
      </c>
      <c r="C22" s="25" t="s">
        <v>909</v>
      </c>
      <c r="D22" s="25" t="s">
        <v>910</v>
      </c>
      <c r="E22" s="25" t="s">
        <v>911</v>
      </c>
      <c r="F22" s="25" t="s">
        <v>912</v>
      </c>
      <c r="G22" s="56" t="s">
        <v>913</v>
      </c>
      <c r="H22" s="25" t="s">
        <v>914</v>
      </c>
      <c r="I22" s="25" t="s">
        <v>915</v>
      </c>
      <c r="J22" s="25" t="s">
        <v>916</v>
      </c>
      <c r="K22" s="34" t="s">
        <v>917</v>
      </c>
    </row>
    <row r="23" spans="1:13" s="52" customFormat="1" x14ac:dyDescent="0.25">
      <c r="A23" s="48" t="s">
        <v>866</v>
      </c>
      <c r="B23" s="25" t="s">
        <v>873</v>
      </c>
      <c r="C23" s="25" t="s">
        <v>873</v>
      </c>
      <c r="D23" s="25" t="s">
        <v>873</v>
      </c>
      <c r="E23" s="25" t="s">
        <v>873</v>
      </c>
      <c r="F23" s="25" t="s">
        <v>867</v>
      </c>
      <c r="G23" s="56" t="s">
        <v>867</v>
      </c>
      <c r="H23" s="25" t="s">
        <v>870</v>
      </c>
      <c r="I23" s="25" t="s">
        <v>873</v>
      </c>
      <c r="J23" s="25" t="s">
        <v>918</v>
      </c>
      <c r="K23" s="34" t="s">
        <v>873</v>
      </c>
    </row>
    <row r="24" spans="1:13" s="52" customFormat="1" x14ac:dyDescent="0.25">
      <c r="A24" s="48" t="s">
        <v>874</v>
      </c>
      <c r="B24" s="25" t="s">
        <v>919</v>
      </c>
      <c r="C24" s="25" t="s">
        <v>920</v>
      </c>
      <c r="D24" s="25" t="s">
        <v>921</v>
      </c>
      <c r="E24" s="25" t="s">
        <v>922</v>
      </c>
      <c r="F24" s="25" t="s">
        <v>923</v>
      </c>
      <c r="G24" s="56" t="s">
        <v>924</v>
      </c>
      <c r="H24" s="25" t="s">
        <v>925</v>
      </c>
      <c r="I24" s="25" t="s">
        <v>926</v>
      </c>
      <c r="J24" s="25" t="s">
        <v>927</v>
      </c>
      <c r="K24" s="34" t="s">
        <v>928</v>
      </c>
    </row>
    <row r="25" spans="1:13" s="33" customFormat="1" ht="15.75" thickBot="1" x14ac:dyDescent="0.3">
      <c r="A25" s="51" t="s">
        <v>844</v>
      </c>
      <c r="B25" s="29" t="s">
        <v>929</v>
      </c>
      <c r="C25" s="29" t="s">
        <v>930</v>
      </c>
      <c r="D25" s="29" t="s">
        <v>931</v>
      </c>
      <c r="E25" s="29" t="s">
        <v>932</v>
      </c>
      <c r="F25" s="29" t="s">
        <v>933</v>
      </c>
      <c r="G25" s="57" t="s">
        <v>934</v>
      </c>
      <c r="H25" s="29" t="s">
        <v>935</v>
      </c>
      <c r="I25" s="29" t="s">
        <v>936</v>
      </c>
      <c r="J25" s="29" t="s">
        <v>937</v>
      </c>
      <c r="K25" s="32" t="s">
        <v>938</v>
      </c>
    </row>
    <row r="26" spans="1:13" s="33" customFormat="1" ht="15" customHeight="1" x14ac:dyDescent="0.25">
      <c r="A26" s="201" t="s">
        <v>939</v>
      </c>
      <c r="B26" s="202"/>
      <c r="C26" s="202"/>
      <c r="D26" s="202"/>
      <c r="E26" s="202"/>
      <c r="F26" s="202"/>
      <c r="G26" s="202"/>
      <c r="H26" s="202"/>
      <c r="I26" s="202"/>
      <c r="J26" s="202"/>
      <c r="K26" s="203"/>
    </row>
    <row r="27" spans="1:13" s="52" customFormat="1" x14ac:dyDescent="0.25">
      <c r="A27" s="48" t="s">
        <v>532</v>
      </c>
      <c r="B27" s="25">
        <v>18</v>
      </c>
      <c r="C27" s="25">
        <v>18</v>
      </c>
      <c r="D27" s="25">
        <v>18</v>
      </c>
      <c r="E27" s="25">
        <v>18</v>
      </c>
      <c r="F27" s="25">
        <v>18</v>
      </c>
      <c r="G27" s="56">
        <v>18</v>
      </c>
      <c r="H27" s="25">
        <v>18</v>
      </c>
      <c r="I27" s="25">
        <v>18</v>
      </c>
      <c r="J27" s="25">
        <v>18</v>
      </c>
      <c r="K27" s="34">
        <v>18</v>
      </c>
    </row>
    <row r="28" spans="1:13" s="52" customFormat="1" x14ac:dyDescent="0.25">
      <c r="A28" s="48" t="s">
        <v>533</v>
      </c>
      <c r="B28" s="25">
        <v>504493</v>
      </c>
      <c r="C28" s="25">
        <v>408232</v>
      </c>
      <c r="D28" s="25">
        <v>504493</v>
      </c>
      <c r="E28" s="25">
        <v>408232</v>
      </c>
      <c r="F28" s="25">
        <v>504493</v>
      </c>
      <c r="G28" s="56">
        <v>408232</v>
      </c>
      <c r="H28" s="25">
        <v>504493</v>
      </c>
      <c r="I28" s="25">
        <v>408232</v>
      </c>
      <c r="J28" s="25">
        <v>504493</v>
      </c>
      <c r="K28" s="34">
        <v>408232</v>
      </c>
    </row>
    <row r="29" spans="1:13" s="52" customFormat="1" x14ac:dyDescent="0.25">
      <c r="A29" s="48" t="s">
        <v>534</v>
      </c>
      <c r="B29" s="25">
        <v>11484</v>
      </c>
      <c r="C29" s="25">
        <v>11718</v>
      </c>
      <c r="D29" s="25">
        <v>6850</v>
      </c>
      <c r="E29" s="25">
        <v>7662</v>
      </c>
      <c r="F29" s="25">
        <v>6620</v>
      </c>
      <c r="G29" s="56">
        <v>6131</v>
      </c>
      <c r="H29" s="25">
        <v>3285</v>
      </c>
      <c r="I29" s="25">
        <v>4481</v>
      </c>
      <c r="J29" s="25">
        <v>3940</v>
      </c>
      <c r="K29" s="34">
        <v>3555</v>
      </c>
    </row>
    <row r="30" spans="1:13" s="52" customFormat="1" x14ac:dyDescent="0.25">
      <c r="A30" s="48" t="s">
        <v>896</v>
      </c>
      <c r="B30" s="25" t="s">
        <v>940</v>
      </c>
      <c r="C30" s="25" t="s">
        <v>941</v>
      </c>
      <c r="D30" s="25" t="s">
        <v>942</v>
      </c>
      <c r="E30" s="25" t="s">
        <v>943</v>
      </c>
      <c r="F30" s="25" t="s">
        <v>944</v>
      </c>
      <c r="G30" s="56" t="s">
        <v>945</v>
      </c>
      <c r="H30" s="25" t="s">
        <v>946</v>
      </c>
      <c r="I30" s="25" t="s">
        <v>947</v>
      </c>
      <c r="J30" s="25" t="s">
        <v>948</v>
      </c>
      <c r="K30" s="34" t="s">
        <v>949</v>
      </c>
    </row>
    <row r="31" spans="1:13" s="52" customFormat="1" x14ac:dyDescent="0.25">
      <c r="A31" s="194" t="s">
        <v>950</v>
      </c>
      <c r="B31" s="195"/>
      <c r="C31" s="195"/>
      <c r="D31" s="195"/>
      <c r="E31" s="195"/>
      <c r="F31" s="195"/>
      <c r="G31" s="195"/>
      <c r="H31" s="195"/>
      <c r="I31" s="195"/>
      <c r="J31" s="195"/>
      <c r="K31" s="196"/>
    </row>
    <row r="32" spans="1:13" s="52" customFormat="1" x14ac:dyDescent="0.25">
      <c r="A32" s="48" t="s">
        <v>833</v>
      </c>
      <c r="B32" s="25" t="s">
        <v>951</v>
      </c>
      <c r="C32" s="25" t="s">
        <v>952</v>
      </c>
      <c r="D32" s="25" t="s">
        <v>953</v>
      </c>
      <c r="E32" s="25" t="s">
        <v>954</v>
      </c>
      <c r="F32" s="25" t="s">
        <v>955</v>
      </c>
      <c r="G32" s="56" t="s">
        <v>956</v>
      </c>
      <c r="H32" s="25" t="s">
        <v>957</v>
      </c>
      <c r="I32" s="25" t="s">
        <v>958</v>
      </c>
      <c r="J32" s="25" t="s">
        <v>959</v>
      </c>
      <c r="K32" s="34" t="s">
        <v>960</v>
      </c>
      <c r="L32" s="36"/>
    </row>
    <row r="33" spans="1:13" s="52" customFormat="1" x14ac:dyDescent="0.25">
      <c r="A33" s="48" t="s">
        <v>866</v>
      </c>
      <c r="B33" s="25" t="s">
        <v>869</v>
      </c>
      <c r="C33" s="25" t="s">
        <v>873</v>
      </c>
      <c r="D33" s="25" t="s">
        <v>918</v>
      </c>
      <c r="E33" s="25" t="s">
        <v>873</v>
      </c>
      <c r="F33" s="25" t="s">
        <v>918</v>
      </c>
      <c r="G33" s="56" t="s">
        <v>873</v>
      </c>
      <c r="H33" s="25" t="s">
        <v>873</v>
      </c>
      <c r="I33" s="25" t="s">
        <v>961</v>
      </c>
      <c r="J33" s="25" t="s">
        <v>962</v>
      </c>
      <c r="K33" s="34" t="s">
        <v>963</v>
      </c>
    </row>
    <row r="34" spans="1:13" s="52" customFormat="1" x14ac:dyDescent="0.25">
      <c r="A34" s="48" t="s">
        <v>874</v>
      </c>
      <c r="B34" s="25" t="s">
        <v>964</v>
      </c>
      <c r="C34" s="25" t="s">
        <v>965</v>
      </c>
      <c r="D34" s="25" t="s">
        <v>966</v>
      </c>
      <c r="E34" s="25" t="s">
        <v>967</v>
      </c>
      <c r="F34" s="25" t="s">
        <v>968</v>
      </c>
      <c r="G34" s="56" t="s">
        <v>969</v>
      </c>
      <c r="H34" s="25" t="s">
        <v>970</v>
      </c>
      <c r="I34" s="25" t="s">
        <v>971</v>
      </c>
      <c r="J34" s="25" t="s">
        <v>972</v>
      </c>
      <c r="K34" s="34" t="s">
        <v>973</v>
      </c>
    </row>
    <row r="35" spans="1:13" s="33" customFormat="1" x14ac:dyDescent="0.25">
      <c r="A35" s="53" t="s">
        <v>844</v>
      </c>
      <c r="B35" s="25" t="s">
        <v>974</v>
      </c>
      <c r="C35" s="25" t="s">
        <v>975</v>
      </c>
      <c r="D35" s="25" t="s">
        <v>976</v>
      </c>
      <c r="E35" s="25" t="s">
        <v>977</v>
      </c>
      <c r="F35" s="25" t="s">
        <v>978</v>
      </c>
      <c r="G35" s="56" t="s">
        <v>979</v>
      </c>
      <c r="H35" s="25" t="s">
        <v>980</v>
      </c>
      <c r="I35" s="25" t="s">
        <v>981</v>
      </c>
      <c r="J35" s="25" t="s">
        <v>982</v>
      </c>
      <c r="K35" s="34" t="s">
        <v>983</v>
      </c>
    </row>
    <row r="36" spans="1:13" s="52" customFormat="1" x14ac:dyDescent="0.25">
      <c r="A36" s="194" t="s">
        <v>984</v>
      </c>
      <c r="B36" s="195"/>
      <c r="C36" s="195"/>
      <c r="D36" s="195"/>
      <c r="E36" s="195"/>
      <c r="F36" s="195"/>
      <c r="G36" s="195"/>
      <c r="H36" s="195"/>
      <c r="I36" s="195"/>
      <c r="J36" s="195"/>
      <c r="K36" s="196"/>
    </row>
    <row r="37" spans="1:13" s="52" customFormat="1" x14ac:dyDescent="0.25">
      <c r="A37" s="48" t="s">
        <v>833</v>
      </c>
      <c r="B37" s="25" t="s">
        <v>985</v>
      </c>
      <c r="C37" s="25" t="s">
        <v>986</v>
      </c>
      <c r="D37" s="25" t="s">
        <v>987</v>
      </c>
      <c r="E37" s="25" t="s">
        <v>988</v>
      </c>
      <c r="F37" s="25" t="s">
        <v>989</v>
      </c>
      <c r="G37" s="56" t="s">
        <v>990</v>
      </c>
      <c r="H37" s="25" t="s">
        <v>991</v>
      </c>
      <c r="I37" s="25" t="s">
        <v>992</v>
      </c>
      <c r="J37" s="25" t="s">
        <v>993</v>
      </c>
      <c r="K37" s="34" t="s">
        <v>994</v>
      </c>
    </row>
    <row r="38" spans="1:13" s="52" customFormat="1" x14ac:dyDescent="0.25">
      <c r="A38" s="48" t="s">
        <v>866</v>
      </c>
      <c r="B38" s="23" t="s">
        <v>872</v>
      </c>
      <c r="C38" s="23" t="s">
        <v>995</v>
      </c>
      <c r="D38" s="23" t="s">
        <v>996</v>
      </c>
      <c r="E38" s="23" t="s">
        <v>997</v>
      </c>
      <c r="F38" s="23" t="s">
        <v>998</v>
      </c>
      <c r="G38" s="58" t="s">
        <v>999</v>
      </c>
      <c r="H38" s="23" t="s">
        <v>1000</v>
      </c>
      <c r="I38" s="23" t="s">
        <v>1001</v>
      </c>
      <c r="J38" s="23" t="s">
        <v>1002</v>
      </c>
      <c r="K38" s="24" t="s">
        <v>997</v>
      </c>
      <c r="L38" s="1"/>
      <c r="M38"/>
    </row>
    <row r="39" spans="1:13" s="52" customFormat="1" x14ac:dyDescent="0.25">
      <c r="A39" s="48" t="s">
        <v>874</v>
      </c>
      <c r="B39" s="23" t="s">
        <v>1003</v>
      </c>
      <c r="C39" s="23" t="s">
        <v>1004</v>
      </c>
      <c r="D39" s="23" t="s">
        <v>1005</v>
      </c>
      <c r="E39" s="23" t="s">
        <v>1006</v>
      </c>
      <c r="F39" s="23" t="s">
        <v>1007</v>
      </c>
      <c r="G39" s="58" t="s">
        <v>1008</v>
      </c>
      <c r="H39" s="23" t="s">
        <v>1009</v>
      </c>
      <c r="I39" s="23" t="s">
        <v>1010</v>
      </c>
      <c r="J39" s="23" t="s">
        <v>1011</v>
      </c>
      <c r="K39" s="24" t="s">
        <v>1012</v>
      </c>
      <c r="L39" s="1"/>
      <c r="M39"/>
    </row>
    <row r="40" spans="1:13" s="52" customFormat="1" ht="15.75" thickBot="1" x14ac:dyDescent="0.3">
      <c r="A40" s="49" t="s">
        <v>844</v>
      </c>
      <c r="B40" s="31" t="s">
        <v>1013</v>
      </c>
      <c r="C40" s="31" t="s">
        <v>1014</v>
      </c>
      <c r="D40" s="31" t="s">
        <v>1015</v>
      </c>
      <c r="E40" s="31" t="s">
        <v>1016</v>
      </c>
      <c r="F40" s="31" t="s">
        <v>1017</v>
      </c>
      <c r="G40" s="59" t="s">
        <v>1018</v>
      </c>
      <c r="H40" s="31" t="s">
        <v>1019</v>
      </c>
      <c r="I40" s="31" t="s">
        <v>1020</v>
      </c>
      <c r="J40" s="31" t="s">
        <v>1021</v>
      </c>
      <c r="K40" s="54" t="s">
        <v>1022</v>
      </c>
      <c r="L40" s="1"/>
      <c r="M40"/>
    </row>
    <row r="41" spans="1:13" s="52" customFormat="1" x14ac:dyDescent="0.25">
      <c r="A41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1"/>
      <c r="M41"/>
    </row>
    <row r="42" spans="1:13" x14ac:dyDescent="0.25">
      <c r="A42" s="18"/>
    </row>
    <row r="43" spans="1:13" x14ac:dyDescent="0.25">
      <c r="A43" t="s">
        <v>1023</v>
      </c>
    </row>
    <row r="44" spans="1:13" x14ac:dyDescent="0.25">
      <c r="A44" s="33" t="s">
        <v>1024</v>
      </c>
    </row>
    <row r="45" spans="1:13" x14ac:dyDescent="0.25">
      <c r="A45" s="156" t="s">
        <v>2859</v>
      </c>
    </row>
  </sheetData>
  <mergeCells count="13">
    <mergeCell ref="A31:K31"/>
    <mergeCell ref="A21:K21"/>
    <mergeCell ref="A36:K36"/>
    <mergeCell ref="H2:I2"/>
    <mergeCell ref="J2:K2"/>
    <mergeCell ref="A4:K4"/>
    <mergeCell ref="A26:K26"/>
    <mergeCell ref="B2:C2"/>
    <mergeCell ref="D2:E2"/>
    <mergeCell ref="F2:G2"/>
    <mergeCell ref="A11:K11"/>
    <mergeCell ref="A16:K16"/>
    <mergeCell ref="A8:K8"/>
  </mergeCells>
  <pageMargins left="0.25" right="0.25" top="0.75" bottom="0.75" header="0.3" footer="0.3"/>
  <pageSetup scale="54" orientation="landscape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1FFDA-EA0B-41B5-979E-8AEB9489C2D0}">
  <sheetPr>
    <pageSetUpPr fitToPage="1"/>
  </sheetPr>
  <dimension ref="A1:L54"/>
  <sheetViews>
    <sheetView workbookViewId="0"/>
  </sheetViews>
  <sheetFormatPr defaultRowHeight="15" x14ac:dyDescent="0.25"/>
  <cols>
    <col min="1" max="1" width="10.140625" customWidth="1"/>
    <col min="2" max="2" width="15.140625" bestFit="1" customWidth="1"/>
    <col min="3" max="12" width="18.85546875" style="20" customWidth="1"/>
  </cols>
  <sheetData>
    <row r="1" spans="1:12" ht="15.75" thickBot="1" x14ac:dyDescent="0.3">
      <c r="A1" s="19" t="s">
        <v>1025</v>
      </c>
    </row>
    <row r="2" spans="1:12" x14ac:dyDescent="0.25">
      <c r="A2" s="211" t="s">
        <v>1026</v>
      </c>
      <c r="B2" s="212"/>
      <c r="C2" s="215" t="s">
        <v>35</v>
      </c>
      <c r="D2" s="216"/>
      <c r="E2" s="217" t="s">
        <v>36</v>
      </c>
      <c r="F2" s="218"/>
      <c r="G2" s="215" t="s">
        <v>37</v>
      </c>
      <c r="H2" s="216"/>
      <c r="I2" s="219" t="s">
        <v>1027</v>
      </c>
      <c r="J2" s="210"/>
      <c r="K2" s="209" t="s">
        <v>39</v>
      </c>
      <c r="L2" s="210"/>
    </row>
    <row r="3" spans="1:12" x14ac:dyDescent="0.25">
      <c r="A3" s="213"/>
      <c r="B3" s="214"/>
      <c r="C3" s="132" t="s">
        <v>1028</v>
      </c>
      <c r="D3" s="133" t="s">
        <v>1029</v>
      </c>
      <c r="E3" s="134" t="s">
        <v>1028</v>
      </c>
      <c r="F3" s="135" t="s">
        <v>1029</v>
      </c>
      <c r="G3" s="132" t="s">
        <v>1028</v>
      </c>
      <c r="H3" s="133" t="s">
        <v>1029</v>
      </c>
      <c r="I3" s="134" t="s">
        <v>1028</v>
      </c>
      <c r="J3" s="135" t="s">
        <v>1029</v>
      </c>
      <c r="K3" s="132" t="s">
        <v>1028</v>
      </c>
      <c r="L3" s="135" t="s">
        <v>1029</v>
      </c>
    </row>
    <row r="4" spans="1:12" x14ac:dyDescent="0.25">
      <c r="A4" s="204" t="s">
        <v>1030</v>
      </c>
      <c r="B4" s="136" t="s">
        <v>1031</v>
      </c>
      <c r="C4" s="137" t="s">
        <v>1032</v>
      </c>
      <c r="D4" s="138" t="s">
        <v>1033</v>
      </c>
      <c r="E4" s="139" t="s">
        <v>1034</v>
      </c>
      <c r="F4" s="131" t="s">
        <v>1035</v>
      </c>
      <c r="G4" s="137" t="s">
        <v>1036</v>
      </c>
      <c r="H4" s="138" t="s">
        <v>1037</v>
      </c>
      <c r="I4" s="139" t="s">
        <v>1038</v>
      </c>
      <c r="J4" s="131" t="s">
        <v>1039</v>
      </c>
      <c r="K4" s="137" t="s">
        <v>1040</v>
      </c>
      <c r="L4" s="131" t="s">
        <v>1041</v>
      </c>
    </row>
    <row r="5" spans="1:12" x14ac:dyDescent="0.25">
      <c r="A5" s="205"/>
      <c r="B5" s="140" t="s">
        <v>1042</v>
      </c>
      <c r="C5" s="141" t="s">
        <v>1043</v>
      </c>
      <c r="D5" s="58" t="s">
        <v>1044</v>
      </c>
      <c r="E5" s="142" t="s">
        <v>1045</v>
      </c>
      <c r="F5" s="24" t="s">
        <v>1046</v>
      </c>
      <c r="G5" s="141" t="s">
        <v>1047</v>
      </c>
      <c r="H5" s="58" t="s">
        <v>1048</v>
      </c>
      <c r="I5" s="142" t="s">
        <v>1049</v>
      </c>
      <c r="J5" s="24" t="s">
        <v>1050</v>
      </c>
      <c r="K5" s="141" t="s">
        <v>1051</v>
      </c>
      <c r="L5" s="24" t="s">
        <v>1052</v>
      </c>
    </row>
    <row r="6" spans="1:12" x14ac:dyDescent="0.25">
      <c r="A6" s="205"/>
      <c r="B6" s="140" t="s">
        <v>1053</v>
      </c>
      <c r="C6" s="141" t="s">
        <v>1054</v>
      </c>
      <c r="D6" s="58" t="s">
        <v>1055</v>
      </c>
      <c r="E6" s="142" t="s">
        <v>1056</v>
      </c>
      <c r="F6" s="24" t="s">
        <v>1057</v>
      </c>
      <c r="G6" s="141" t="s">
        <v>1058</v>
      </c>
      <c r="H6" s="58" t="s">
        <v>1059</v>
      </c>
      <c r="I6" s="142" t="s">
        <v>1060</v>
      </c>
      <c r="J6" s="24" t="s">
        <v>1061</v>
      </c>
      <c r="K6" s="141" t="s">
        <v>1062</v>
      </c>
      <c r="L6" s="24" t="s">
        <v>1063</v>
      </c>
    </row>
    <row r="7" spans="1:12" x14ac:dyDescent="0.25">
      <c r="A7" s="205"/>
      <c r="B7" s="140" t="s">
        <v>1064</v>
      </c>
      <c r="C7" s="141" t="s">
        <v>1065</v>
      </c>
      <c r="D7" s="58" t="s">
        <v>1066</v>
      </c>
      <c r="E7" s="142" t="s">
        <v>1067</v>
      </c>
      <c r="F7" s="24" t="s">
        <v>1068</v>
      </c>
      <c r="G7" s="141" t="s">
        <v>1069</v>
      </c>
      <c r="H7" s="58" t="s">
        <v>1070</v>
      </c>
      <c r="I7" s="142" t="s">
        <v>1071</v>
      </c>
      <c r="J7" s="24" t="s">
        <v>1072</v>
      </c>
      <c r="K7" s="141" t="s">
        <v>1073</v>
      </c>
      <c r="L7" s="24" t="s">
        <v>1074</v>
      </c>
    </row>
    <row r="8" spans="1:12" x14ac:dyDescent="0.25">
      <c r="A8" s="206"/>
      <c r="B8" s="143" t="s">
        <v>1075</v>
      </c>
      <c r="C8" s="144" t="s">
        <v>1076</v>
      </c>
      <c r="D8" s="59" t="s">
        <v>1077</v>
      </c>
      <c r="E8" s="145" t="s">
        <v>1078</v>
      </c>
      <c r="F8" s="54" t="s">
        <v>1079</v>
      </c>
      <c r="G8" s="144" t="s">
        <v>1080</v>
      </c>
      <c r="H8" s="59" t="s">
        <v>1081</v>
      </c>
      <c r="I8" s="145" t="s">
        <v>1082</v>
      </c>
      <c r="J8" s="54" t="s">
        <v>1083</v>
      </c>
      <c r="K8" s="144" t="s">
        <v>1084</v>
      </c>
      <c r="L8" s="54" t="s">
        <v>1085</v>
      </c>
    </row>
    <row r="9" spans="1:12" ht="14.45" customHeight="1" x14ac:dyDescent="0.25">
      <c r="A9" s="208" t="s">
        <v>1086</v>
      </c>
      <c r="B9" s="136" t="s">
        <v>1031</v>
      </c>
      <c r="C9" s="147" t="s">
        <v>1087</v>
      </c>
      <c r="D9" s="148" t="s">
        <v>1088</v>
      </c>
      <c r="E9" s="149" t="s">
        <v>1089</v>
      </c>
      <c r="F9" s="71" t="s">
        <v>1090</v>
      </c>
      <c r="G9" s="147" t="s">
        <v>1091</v>
      </c>
      <c r="H9" s="148" t="s">
        <v>1092</v>
      </c>
      <c r="I9" s="149" t="s">
        <v>1093</v>
      </c>
      <c r="J9" s="71" t="s">
        <v>1094</v>
      </c>
      <c r="K9" s="147" t="s">
        <v>1095</v>
      </c>
      <c r="L9" s="71" t="s">
        <v>1096</v>
      </c>
    </row>
    <row r="10" spans="1:12" x14ac:dyDescent="0.25">
      <c r="A10" s="205"/>
      <c r="B10" s="140" t="s">
        <v>1042</v>
      </c>
      <c r="C10" s="141" t="s">
        <v>1097</v>
      </c>
      <c r="D10" s="58" t="s">
        <v>1098</v>
      </c>
      <c r="E10" s="142" t="s">
        <v>1099</v>
      </c>
      <c r="F10" s="24" t="s">
        <v>1100</v>
      </c>
      <c r="G10" s="141" t="s">
        <v>1101</v>
      </c>
      <c r="H10" s="58" t="s">
        <v>1102</v>
      </c>
      <c r="I10" s="142" t="s">
        <v>1103</v>
      </c>
      <c r="J10" s="24" t="s">
        <v>1104</v>
      </c>
      <c r="K10" s="141" t="s">
        <v>1105</v>
      </c>
      <c r="L10" s="24" t="s">
        <v>1106</v>
      </c>
    </row>
    <row r="11" spans="1:12" x14ac:dyDescent="0.25">
      <c r="A11" s="205"/>
      <c r="B11" s="140" t="s">
        <v>1053</v>
      </c>
      <c r="C11" s="141" t="s">
        <v>1107</v>
      </c>
      <c r="D11" s="58" t="s">
        <v>1108</v>
      </c>
      <c r="E11" s="142" t="s">
        <v>1109</v>
      </c>
      <c r="F11" s="24" t="s">
        <v>1110</v>
      </c>
      <c r="G11" s="141" t="s">
        <v>1111</v>
      </c>
      <c r="H11" s="58" t="s">
        <v>1112</v>
      </c>
      <c r="I11" s="142" t="s">
        <v>1113</v>
      </c>
      <c r="J11" s="24" t="s">
        <v>1114</v>
      </c>
      <c r="K11" s="141" t="s">
        <v>1115</v>
      </c>
      <c r="L11" s="24" t="s">
        <v>1116</v>
      </c>
    </row>
    <row r="12" spans="1:12" x14ac:dyDescent="0.25">
      <c r="A12" s="205"/>
      <c r="B12" s="140" t="s">
        <v>1064</v>
      </c>
      <c r="C12" s="141" t="s">
        <v>1117</v>
      </c>
      <c r="D12" s="58" t="s">
        <v>1118</v>
      </c>
      <c r="E12" s="142" t="s">
        <v>1119</v>
      </c>
      <c r="F12" s="24" t="s">
        <v>1120</v>
      </c>
      <c r="G12" s="141" t="s">
        <v>1121</v>
      </c>
      <c r="H12" s="58" t="s">
        <v>1122</v>
      </c>
      <c r="I12" s="142" t="s">
        <v>1123</v>
      </c>
      <c r="J12" s="24" t="s">
        <v>1124</v>
      </c>
      <c r="K12" s="141" t="s">
        <v>1125</v>
      </c>
      <c r="L12" s="24" t="s">
        <v>1126</v>
      </c>
    </row>
    <row r="13" spans="1:12" x14ac:dyDescent="0.25">
      <c r="A13" s="207"/>
      <c r="B13" s="150" t="s">
        <v>1075</v>
      </c>
      <c r="C13" s="151" t="s">
        <v>1127</v>
      </c>
      <c r="D13" s="152" t="s">
        <v>1128</v>
      </c>
      <c r="E13" s="153" t="s">
        <v>1129</v>
      </c>
      <c r="F13" s="30" t="s">
        <v>1130</v>
      </c>
      <c r="G13" s="151" t="s">
        <v>1131</v>
      </c>
      <c r="H13" s="152" t="s">
        <v>1132</v>
      </c>
      <c r="I13" s="153" t="s">
        <v>1133</v>
      </c>
      <c r="J13" s="30" t="s">
        <v>1134</v>
      </c>
      <c r="K13" s="151" t="s">
        <v>1135</v>
      </c>
      <c r="L13" s="30" t="s">
        <v>1136</v>
      </c>
    </row>
    <row r="14" spans="1:12" ht="14.45" customHeight="1" x14ac:dyDescent="0.25">
      <c r="A14" s="204" t="s">
        <v>1137</v>
      </c>
      <c r="B14" s="136" t="s">
        <v>1031</v>
      </c>
      <c r="C14" s="137" t="s">
        <v>1138</v>
      </c>
      <c r="D14" s="138" t="s">
        <v>1139</v>
      </c>
      <c r="E14" s="139" t="s">
        <v>1140</v>
      </c>
      <c r="F14" s="131" t="s">
        <v>1141</v>
      </c>
      <c r="G14" s="137" t="s">
        <v>1142</v>
      </c>
      <c r="H14" s="138" t="s">
        <v>1143</v>
      </c>
      <c r="I14" s="139" t="s">
        <v>1144</v>
      </c>
      <c r="J14" s="131" t="s">
        <v>1145</v>
      </c>
      <c r="K14" s="137" t="s">
        <v>1146</v>
      </c>
      <c r="L14" s="131" t="s">
        <v>1147</v>
      </c>
    </row>
    <row r="15" spans="1:12" x14ac:dyDescent="0.25">
      <c r="A15" s="205"/>
      <c r="B15" s="140" t="s">
        <v>1042</v>
      </c>
      <c r="C15" s="141" t="s">
        <v>1148</v>
      </c>
      <c r="D15" s="58" t="s">
        <v>1149</v>
      </c>
      <c r="E15" s="142" t="s">
        <v>1150</v>
      </c>
      <c r="F15" s="24" t="s">
        <v>1151</v>
      </c>
      <c r="G15" s="141" t="s">
        <v>1152</v>
      </c>
      <c r="H15" s="58" t="s">
        <v>1153</v>
      </c>
      <c r="I15" s="142" t="s">
        <v>1154</v>
      </c>
      <c r="J15" s="24" t="s">
        <v>1155</v>
      </c>
      <c r="K15" s="141" t="s">
        <v>1156</v>
      </c>
      <c r="L15" s="24" t="s">
        <v>1157</v>
      </c>
    </row>
    <row r="16" spans="1:12" x14ac:dyDescent="0.25">
      <c r="A16" s="205"/>
      <c r="B16" s="140" t="s">
        <v>1053</v>
      </c>
      <c r="C16" s="141" t="s">
        <v>1158</v>
      </c>
      <c r="D16" s="58" t="s">
        <v>1159</v>
      </c>
      <c r="E16" s="142" t="s">
        <v>1160</v>
      </c>
      <c r="F16" s="24" t="s">
        <v>1161</v>
      </c>
      <c r="G16" s="141" t="s">
        <v>1162</v>
      </c>
      <c r="H16" s="58" t="s">
        <v>1163</v>
      </c>
      <c r="I16" s="142" t="s">
        <v>1164</v>
      </c>
      <c r="J16" s="24" t="s">
        <v>1165</v>
      </c>
      <c r="K16" s="141" t="s">
        <v>1166</v>
      </c>
      <c r="L16" s="24" t="s">
        <v>1167</v>
      </c>
    </row>
    <row r="17" spans="1:12" x14ac:dyDescent="0.25">
      <c r="A17" s="205"/>
      <c r="B17" s="140" t="s">
        <v>1064</v>
      </c>
      <c r="C17" s="141" t="s">
        <v>1168</v>
      </c>
      <c r="D17" s="58" t="s">
        <v>1169</v>
      </c>
      <c r="E17" s="142" t="s">
        <v>1170</v>
      </c>
      <c r="F17" s="24" t="s">
        <v>1171</v>
      </c>
      <c r="G17" s="141" t="s">
        <v>1172</v>
      </c>
      <c r="H17" s="58" t="s">
        <v>1173</v>
      </c>
      <c r="I17" s="142" t="s">
        <v>1174</v>
      </c>
      <c r="J17" s="24" t="s">
        <v>1175</v>
      </c>
      <c r="K17" s="141" t="s">
        <v>1176</v>
      </c>
      <c r="L17" s="24" t="s">
        <v>1177</v>
      </c>
    </row>
    <row r="18" spans="1:12" x14ac:dyDescent="0.25">
      <c r="A18" s="206"/>
      <c r="B18" s="143" t="s">
        <v>1075</v>
      </c>
      <c r="C18" s="144" t="s">
        <v>1178</v>
      </c>
      <c r="D18" s="59" t="s">
        <v>1179</v>
      </c>
      <c r="E18" s="145" t="s">
        <v>1180</v>
      </c>
      <c r="F18" s="54" t="s">
        <v>1181</v>
      </c>
      <c r="G18" s="144" t="s">
        <v>1182</v>
      </c>
      <c r="H18" s="59" t="s">
        <v>1183</v>
      </c>
      <c r="I18" s="145" t="s">
        <v>1184</v>
      </c>
      <c r="J18" s="54" t="s">
        <v>1185</v>
      </c>
      <c r="K18" s="144" t="s">
        <v>1186</v>
      </c>
      <c r="L18" s="54" t="s">
        <v>1187</v>
      </c>
    </row>
    <row r="19" spans="1:12" ht="14.45" customHeight="1" x14ac:dyDescent="0.25">
      <c r="A19" s="208" t="s">
        <v>1188</v>
      </c>
      <c r="B19" s="136" t="s">
        <v>1031</v>
      </c>
      <c r="C19" s="147" t="s">
        <v>1189</v>
      </c>
      <c r="D19" s="148" t="s">
        <v>1190</v>
      </c>
      <c r="E19" s="149" t="s">
        <v>1191</v>
      </c>
      <c r="F19" s="71" t="s">
        <v>1192</v>
      </c>
      <c r="G19" s="147" t="s">
        <v>1193</v>
      </c>
      <c r="H19" s="148" t="s">
        <v>1194</v>
      </c>
      <c r="I19" s="149" t="s">
        <v>1195</v>
      </c>
      <c r="J19" s="71" t="s">
        <v>1196</v>
      </c>
      <c r="K19" s="147" t="s">
        <v>1197</v>
      </c>
      <c r="L19" s="71" t="s">
        <v>1198</v>
      </c>
    </row>
    <row r="20" spans="1:12" x14ac:dyDescent="0.25">
      <c r="A20" s="205"/>
      <c r="B20" s="140" t="s">
        <v>1042</v>
      </c>
      <c r="C20" s="141" t="s">
        <v>1199</v>
      </c>
      <c r="D20" s="58" t="s">
        <v>1200</v>
      </c>
      <c r="E20" s="142" t="s">
        <v>1201</v>
      </c>
      <c r="F20" s="24" t="s">
        <v>1202</v>
      </c>
      <c r="G20" s="141" t="s">
        <v>1203</v>
      </c>
      <c r="H20" s="58" t="s">
        <v>1204</v>
      </c>
      <c r="I20" s="142" t="s">
        <v>1205</v>
      </c>
      <c r="J20" s="24" t="s">
        <v>1206</v>
      </c>
      <c r="K20" s="141" t="s">
        <v>1207</v>
      </c>
      <c r="L20" s="24" t="s">
        <v>1208</v>
      </c>
    </row>
    <row r="21" spans="1:12" x14ac:dyDescent="0.25">
      <c r="A21" s="205"/>
      <c r="B21" s="140" t="s">
        <v>1053</v>
      </c>
      <c r="C21" s="141" t="s">
        <v>1209</v>
      </c>
      <c r="D21" s="58" t="s">
        <v>1210</v>
      </c>
      <c r="E21" s="142" t="s">
        <v>1211</v>
      </c>
      <c r="F21" s="24" t="s">
        <v>1212</v>
      </c>
      <c r="G21" s="141" t="s">
        <v>1213</v>
      </c>
      <c r="H21" s="58" t="s">
        <v>1214</v>
      </c>
      <c r="I21" s="142" t="s">
        <v>1215</v>
      </c>
      <c r="J21" s="24" t="s">
        <v>1216</v>
      </c>
      <c r="K21" s="141" t="s">
        <v>1217</v>
      </c>
      <c r="L21" s="24" t="s">
        <v>1218</v>
      </c>
    </row>
    <row r="22" spans="1:12" x14ac:dyDescent="0.25">
      <c r="A22" s="205"/>
      <c r="B22" s="140" t="s">
        <v>1064</v>
      </c>
      <c r="C22" s="141" t="s">
        <v>1219</v>
      </c>
      <c r="D22" s="58" t="s">
        <v>1220</v>
      </c>
      <c r="E22" s="142" t="s">
        <v>1221</v>
      </c>
      <c r="F22" s="24" t="s">
        <v>1222</v>
      </c>
      <c r="G22" s="141" t="s">
        <v>1223</v>
      </c>
      <c r="H22" s="58" t="s">
        <v>1224</v>
      </c>
      <c r="I22" s="142" t="s">
        <v>1225</v>
      </c>
      <c r="J22" s="24" t="s">
        <v>1226</v>
      </c>
      <c r="K22" s="141" t="s">
        <v>1227</v>
      </c>
      <c r="L22" s="24" t="s">
        <v>1228</v>
      </c>
    </row>
    <row r="23" spans="1:12" x14ac:dyDescent="0.25">
      <c r="A23" s="207"/>
      <c r="B23" s="150" t="s">
        <v>1075</v>
      </c>
      <c r="C23" s="151" t="s">
        <v>1229</v>
      </c>
      <c r="D23" s="152" t="s">
        <v>1230</v>
      </c>
      <c r="E23" s="153" t="s">
        <v>1231</v>
      </c>
      <c r="F23" s="30" t="s">
        <v>1232</v>
      </c>
      <c r="G23" s="151" t="s">
        <v>1233</v>
      </c>
      <c r="H23" s="152" t="s">
        <v>1234</v>
      </c>
      <c r="I23" s="153" t="s">
        <v>1235</v>
      </c>
      <c r="J23" s="30" t="s">
        <v>1236</v>
      </c>
      <c r="K23" s="151" t="s">
        <v>1237</v>
      </c>
      <c r="L23" s="30" t="s">
        <v>1238</v>
      </c>
    </row>
    <row r="24" spans="1:12" x14ac:dyDescent="0.25">
      <c r="A24" s="204" t="s">
        <v>1239</v>
      </c>
      <c r="B24" s="136" t="s">
        <v>1031</v>
      </c>
      <c r="C24" s="137" t="s">
        <v>1240</v>
      </c>
      <c r="D24" s="138" t="s">
        <v>1241</v>
      </c>
      <c r="E24" s="139" t="s">
        <v>1242</v>
      </c>
      <c r="F24" s="131" t="s">
        <v>1243</v>
      </c>
      <c r="G24" s="137" t="s">
        <v>1244</v>
      </c>
      <c r="H24" s="138" t="s">
        <v>1245</v>
      </c>
      <c r="I24" s="139" t="s">
        <v>1246</v>
      </c>
      <c r="J24" s="131" t="s">
        <v>1247</v>
      </c>
      <c r="K24" s="137" t="s">
        <v>1248</v>
      </c>
      <c r="L24" s="131" t="s">
        <v>1249</v>
      </c>
    </row>
    <row r="25" spans="1:12" x14ac:dyDescent="0.25">
      <c r="A25" s="205"/>
      <c r="B25" s="140" t="s">
        <v>1042</v>
      </c>
      <c r="C25" s="141" t="s">
        <v>1250</v>
      </c>
      <c r="D25" s="58" t="s">
        <v>1251</v>
      </c>
      <c r="E25" s="142" t="s">
        <v>1252</v>
      </c>
      <c r="F25" s="24" t="s">
        <v>1253</v>
      </c>
      <c r="G25" s="141" t="s">
        <v>1254</v>
      </c>
      <c r="H25" s="58" t="s">
        <v>1255</v>
      </c>
      <c r="I25" s="142" t="s">
        <v>1256</v>
      </c>
      <c r="J25" s="24" t="s">
        <v>1257</v>
      </c>
      <c r="K25" s="141" t="s">
        <v>1258</v>
      </c>
      <c r="L25" s="24" t="s">
        <v>1259</v>
      </c>
    </row>
    <row r="26" spans="1:12" x14ac:dyDescent="0.25">
      <c r="A26" s="205"/>
      <c r="B26" s="140" t="s">
        <v>1053</v>
      </c>
      <c r="C26" s="141" t="s">
        <v>1260</v>
      </c>
      <c r="D26" s="58" t="s">
        <v>1261</v>
      </c>
      <c r="E26" s="142" t="s">
        <v>1262</v>
      </c>
      <c r="F26" s="24" t="s">
        <v>1263</v>
      </c>
      <c r="G26" s="141" t="s">
        <v>1264</v>
      </c>
      <c r="H26" s="58" t="s">
        <v>1265</v>
      </c>
      <c r="I26" s="142" t="s">
        <v>1266</v>
      </c>
      <c r="J26" s="24" t="s">
        <v>1267</v>
      </c>
      <c r="K26" s="141" t="s">
        <v>1268</v>
      </c>
      <c r="L26" s="24" t="s">
        <v>1269</v>
      </c>
    </row>
    <row r="27" spans="1:12" x14ac:dyDescent="0.25">
      <c r="A27" s="205"/>
      <c r="B27" s="140" t="s">
        <v>1064</v>
      </c>
      <c r="C27" s="141" t="s">
        <v>1270</v>
      </c>
      <c r="D27" s="58" t="s">
        <v>1271</v>
      </c>
      <c r="E27" s="142" t="s">
        <v>1272</v>
      </c>
      <c r="F27" s="24" t="s">
        <v>1273</v>
      </c>
      <c r="G27" s="141" t="s">
        <v>1274</v>
      </c>
      <c r="H27" s="58" t="s">
        <v>1275</v>
      </c>
      <c r="I27" s="142" t="s">
        <v>1276</v>
      </c>
      <c r="J27" s="24" t="s">
        <v>1277</v>
      </c>
      <c r="K27" s="141" t="s">
        <v>1278</v>
      </c>
      <c r="L27" s="24" t="s">
        <v>1279</v>
      </c>
    </row>
    <row r="28" spans="1:12" x14ac:dyDescent="0.25">
      <c r="A28" s="206"/>
      <c r="B28" s="143" t="s">
        <v>1075</v>
      </c>
      <c r="C28" s="144" t="s">
        <v>1280</v>
      </c>
      <c r="D28" s="59" t="s">
        <v>1281</v>
      </c>
      <c r="E28" s="145" t="s">
        <v>1282</v>
      </c>
      <c r="F28" s="54" t="s">
        <v>1283</v>
      </c>
      <c r="G28" s="144" t="s">
        <v>1284</v>
      </c>
      <c r="H28" s="59" t="s">
        <v>1285</v>
      </c>
      <c r="I28" s="145" t="s">
        <v>1286</v>
      </c>
      <c r="J28" s="54" t="s">
        <v>1287</v>
      </c>
      <c r="K28" s="144" t="s">
        <v>1288</v>
      </c>
      <c r="L28" s="54" t="s">
        <v>1289</v>
      </c>
    </row>
    <row r="29" spans="1:12" ht="14.45" customHeight="1" x14ac:dyDescent="0.25">
      <c r="A29" s="208" t="s">
        <v>1290</v>
      </c>
      <c r="B29" s="136" t="s">
        <v>1031</v>
      </c>
      <c r="C29" s="147" t="s">
        <v>1291</v>
      </c>
      <c r="D29" s="148" t="s">
        <v>1292</v>
      </c>
      <c r="E29" s="149" t="s">
        <v>1293</v>
      </c>
      <c r="F29" s="71" t="s">
        <v>1294</v>
      </c>
      <c r="G29" s="147" t="s">
        <v>1295</v>
      </c>
      <c r="H29" s="148" t="s">
        <v>1296</v>
      </c>
      <c r="I29" s="149" t="s">
        <v>1297</v>
      </c>
      <c r="J29" s="71" t="s">
        <v>1298</v>
      </c>
      <c r="K29" s="147" t="s">
        <v>1299</v>
      </c>
      <c r="L29" s="71" t="s">
        <v>1300</v>
      </c>
    </row>
    <row r="30" spans="1:12" x14ac:dyDescent="0.25">
      <c r="A30" s="205"/>
      <c r="B30" s="140" t="s">
        <v>1042</v>
      </c>
      <c r="C30" s="141" t="s">
        <v>1301</v>
      </c>
      <c r="D30" s="58" t="s">
        <v>1302</v>
      </c>
      <c r="E30" s="142" t="s">
        <v>1303</v>
      </c>
      <c r="F30" s="24" t="s">
        <v>1304</v>
      </c>
      <c r="G30" s="141" t="s">
        <v>1305</v>
      </c>
      <c r="H30" s="58" t="s">
        <v>1306</v>
      </c>
      <c r="I30" s="142" t="s">
        <v>1307</v>
      </c>
      <c r="J30" s="24" t="s">
        <v>1308</v>
      </c>
      <c r="K30" s="141" t="s">
        <v>1309</v>
      </c>
      <c r="L30" s="24" t="s">
        <v>1310</v>
      </c>
    </row>
    <row r="31" spans="1:12" x14ac:dyDescent="0.25">
      <c r="A31" s="205"/>
      <c r="B31" s="140" t="s">
        <v>1053</v>
      </c>
      <c r="C31" s="141" t="s">
        <v>1311</v>
      </c>
      <c r="D31" s="58" t="s">
        <v>1312</v>
      </c>
      <c r="E31" s="142" t="s">
        <v>1313</v>
      </c>
      <c r="F31" s="24" t="s">
        <v>1314</v>
      </c>
      <c r="G31" s="141" t="s">
        <v>1315</v>
      </c>
      <c r="H31" s="58" t="s">
        <v>1316</v>
      </c>
      <c r="I31" s="142" t="s">
        <v>1317</v>
      </c>
      <c r="J31" s="24" t="s">
        <v>1318</v>
      </c>
      <c r="K31" s="141" t="s">
        <v>1319</v>
      </c>
      <c r="L31" s="24" t="s">
        <v>1320</v>
      </c>
    </row>
    <row r="32" spans="1:12" x14ac:dyDescent="0.25">
      <c r="A32" s="205"/>
      <c r="B32" s="140" t="s">
        <v>1064</v>
      </c>
      <c r="C32" s="141" t="s">
        <v>1321</v>
      </c>
      <c r="D32" s="58" t="s">
        <v>1322</v>
      </c>
      <c r="E32" s="142" t="s">
        <v>1323</v>
      </c>
      <c r="F32" s="24" t="s">
        <v>1324</v>
      </c>
      <c r="G32" s="141" t="s">
        <v>1325</v>
      </c>
      <c r="H32" s="58" t="s">
        <v>1326</v>
      </c>
      <c r="I32" s="142" t="s">
        <v>1327</v>
      </c>
      <c r="J32" s="24" t="s">
        <v>1328</v>
      </c>
      <c r="K32" s="141" t="s">
        <v>1329</v>
      </c>
      <c r="L32" s="24" t="s">
        <v>1330</v>
      </c>
    </row>
    <row r="33" spans="1:12" x14ac:dyDescent="0.25">
      <c r="A33" s="206"/>
      <c r="B33" s="143" t="s">
        <v>1075</v>
      </c>
      <c r="C33" s="144" t="s">
        <v>1331</v>
      </c>
      <c r="D33" s="59" t="s">
        <v>1332</v>
      </c>
      <c r="E33" s="145" t="s">
        <v>1333</v>
      </c>
      <c r="F33" s="54" t="s">
        <v>1334</v>
      </c>
      <c r="G33" s="144" t="s">
        <v>1335</v>
      </c>
      <c r="H33" s="59" t="s">
        <v>1336</v>
      </c>
      <c r="I33" s="145" t="s">
        <v>1337</v>
      </c>
      <c r="J33" s="54" t="s">
        <v>1338</v>
      </c>
      <c r="K33" s="144" t="s">
        <v>1339</v>
      </c>
      <c r="L33" s="54" t="s">
        <v>1340</v>
      </c>
    </row>
    <row r="34" spans="1:12" ht="14.45" customHeight="1" x14ac:dyDescent="0.25">
      <c r="A34" s="204" t="s">
        <v>1341</v>
      </c>
      <c r="B34" s="136" t="s">
        <v>1031</v>
      </c>
      <c r="C34" s="137" t="s">
        <v>1342</v>
      </c>
      <c r="D34" s="138" t="s">
        <v>1343</v>
      </c>
      <c r="E34" s="139" t="s">
        <v>1344</v>
      </c>
      <c r="F34" s="131" t="s">
        <v>1345</v>
      </c>
      <c r="G34" s="137" t="s">
        <v>1346</v>
      </c>
      <c r="H34" s="138" t="s">
        <v>1347</v>
      </c>
      <c r="I34" s="139" t="s">
        <v>1348</v>
      </c>
      <c r="J34" s="131" t="s">
        <v>1349</v>
      </c>
      <c r="K34" s="137" t="s">
        <v>1350</v>
      </c>
      <c r="L34" s="131" t="s">
        <v>1351</v>
      </c>
    </row>
    <row r="35" spans="1:12" x14ac:dyDescent="0.25">
      <c r="A35" s="205"/>
      <c r="B35" s="140" t="s">
        <v>1042</v>
      </c>
      <c r="C35" s="141" t="s">
        <v>1352</v>
      </c>
      <c r="D35" s="58" t="s">
        <v>1353</v>
      </c>
      <c r="E35" s="142" t="s">
        <v>1354</v>
      </c>
      <c r="F35" s="24" t="s">
        <v>1355</v>
      </c>
      <c r="G35" s="141" t="s">
        <v>1356</v>
      </c>
      <c r="H35" s="58" t="s">
        <v>1357</v>
      </c>
      <c r="I35" s="142" t="s">
        <v>1358</v>
      </c>
      <c r="J35" s="24" t="s">
        <v>1359</v>
      </c>
      <c r="K35" s="141" t="s">
        <v>1360</v>
      </c>
      <c r="L35" s="24" t="s">
        <v>1361</v>
      </c>
    </row>
    <row r="36" spans="1:12" x14ac:dyDescent="0.25">
      <c r="A36" s="205"/>
      <c r="B36" s="140" t="s">
        <v>1053</v>
      </c>
      <c r="C36" s="141" t="s">
        <v>1362</v>
      </c>
      <c r="D36" s="58" t="s">
        <v>1363</v>
      </c>
      <c r="E36" s="142" t="s">
        <v>1364</v>
      </c>
      <c r="F36" s="24" t="s">
        <v>1365</v>
      </c>
      <c r="G36" s="141" t="s">
        <v>1366</v>
      </c>
      <c r="H36" s="58" t="s">
        <v>1367</v>
      </c>
      <c r="I36" s="142" t="s">
        <v>1368</v>
      </c>
      <c r="J36" s="24" t="s">
        <v>1369</v>
      </c>
      <c r="K36" s="141" t="s">
        <v>1370</v>
      </c>
      <c r="L36" s="24" t="s">
        <v>1371</v>
      </c>
    </row>
    <row r="37" spans="1:12" x14ac:dyDescent="0.25">
      <c r="A37" s="205"/>
      <c r="B37" s="140" t="s">
        <v>1064</v>
      </c>
      <c r="C37" s="141" t="s">
        <v>1372</v>
      </c>
      <c r="D37" s="58" t="s">
        <v>1373</v>
      </c>
      <c r="E37" s="142" t="s">
        <v>1374</v>
      </c>
      <c r="F37" s="24" t="s">
        <v>1375</v>
      </c>
      <c r="G37" s="141" t="s">
        <v>1376</v>
      </c>
      <c r="H37" s="58" t="s">
        <v>1377</v>
      </c>
      <c r="I37" s="142" t="s">
        <v>1378</v>
      </c>
      <c r="J37" s="24" t="s">
        <v>1379</v>
      </c>
      <c r="K37" s="141" t="s">
        <v>1380</v>
      </c>
      <c r="L37" s="24" t="s">
        <v>1381</v>
      </c>
    </row>
    <row r="38" spans="1:12" ht="15.75" thickBot="1" x14ac:dyDescent="0.3">
      <c r="A38" s="206"/>
      <c r="B38" s="143" t="s">
        <v>1075</v>
      </c>
      <c r="C38" s="144" t="s">
        <v>1382</v>
      </c>
      <c r="D38" s="59" t="s">
        <v>1383</v>
      </c>
      <c r="E38" s="145" t="s">
        <v>1384</v>
      </c>
      <c r="F38" s="54" t="s">
        <v>1385</v>
      </c>
      <c r="G38" s="144" t="s">
        <v>1386</v>
      </c>
      <c r="H38" s="59" t="s">
        <v>1387</v>
      </c>
      <c r="I38" s="145" t="s">
        <v>1388</v>
      </c>
      <c r="J38" s="54" t="s">
        <v>1389</v>
      </c>
      <c r="K38" s="144" t="s">
        <v>1390</v>
      </c>
      <c r="L38" s="54" t="s">
        <v>1391</v>
      </c>
    </row>
    <row r="39" spans="1:12" x14ac:dyDescent="0.25">
      <c r="A39" s="154" t="s">
        <v>1392</v>
      </c>
    </row>
    <row r="40" spans="1:12" x14ac:dyDescent="0.25">
      <c r="A40" s="204" t="s">
        <v>1393</v>
      </c>
      <c r="B40" s="136" t="s">
        <v>1394</v>
      </c>
      <c r="C40" s="137" t="s">
        <v>1395</v>
      </c>
      <c r="D40" s="131" t="s">
        <v>1396</v>
      </c>
      <c r="E40" s="137" t="s">
        <v>1397</v>
      </c>
      <c r="F40" s="131" t="s">
        <v>868</v>
      </c>
      <c r="G40" s="137" t="s">
        <v>1398</v>
      </c>
      <c r="H40" s="131" t="s">
        <v>1399</v>
      </c>
      <c r="I40" s="137" t="s">
        <v>1400</v>
      </c>
      <c r="J40" s="131" t="s">
        <v>1401</v>
      </c>
      <c r="K40" s="137" t="s">
        <v>1402</v>
      </c>
      <c r="L40" s="131" t="s">
        <v>1403</v>
      </c>
    </row>
    <row r="41" spans="1:12" x14ac:dyDescent="0.25">
      <c r="A41" s="205"/>
      <c r="B41" s="140" t="s">
        <v>1404</v>
      </c>
      <c r="C41" s="141" t="s">
        <v>1405</v>
      </c>
      <c r="D41" s="24" t="s">
        <v>1406</v>
      </c>
      <c r="E41" s="141" t="s">
        <v>1407</v>
      </c>
      <c r="F41" s="24" t="s">
        <v>1408</v>
      </c>
      <c r="G41" s="141" t="s">
        <v>1409</v>
      </c>
      <c r="H41" s="24" t="s">
        <v>1410</v>
      </c>
      <c r="I41" s="141" t="s">
        <v>1411</v>
      </c>
      <c r="J41" s="24" t="s">
        <v>1412</v>
      </c>
      <c r="K41" s="141" t="s">
        <v>1413</v>
      </c>
      <c r="L41" s="24" t="s">
        <v>1414</v>
      </c>
    </row>
    <row r="42" spans="1:12" x14ac:dyDescent="0.25">
      <c r="A42" s="205"/>
      <c r="B42" s="140" t="s">
        <v>1053</v>
      </c>
      <c r="C42" s="141" t="s">
        <v>1415</v>
      </c>
      <c r="D42" s="24" t="s">
        <v>1416</v>
      </c>
      <c r="E42" s="141" t="s">
        <v>1417</v>
      </c>
      <c r="F42" s="24" t="s">
        <v>1418</v>
      </c>
      <c r="G42" s="141" t="s">
        <v>1419</v>
      </c>
      <c r="H42" s="24" t="s">
        <v>1420</v>
      </c>
      <c r="I42" s="141" t="s">
        <v>1421</v>
      </c>
      <c r="J42" s="24" t="s">
        <v>1422</v>
      </c>
      <c r="K42" s="141" t="s">
        <v>1412</v>
      </c>
      <c r="L42" s="24" t="s">
        <v>1423</v>
      </c>
    </row>
    <row r="43" spans="1:12" x14ac:dyDescent="0.25">
      <c r="A43" s="205"/>
      <c r="B43" s="140" t="s">
        <v>1064</v>
      </c>
      <c r="C43" s="141" t="s">
        <v>1424</v>
      </c>
      <c r="D43" s="24" t="s">
        <v>1425</v>
      </c>
      <c r="E43" s="141" t="s">
        <v>1411</v>
      </c>
      <c r="F43" s="24" t="s">
        <v>1426</v>
      </c>
      <c r="G43" s="141" t="s">
        <v>1427</v>
      </c>
      <c r="H43" s="24" t="s">
        <v>1428</v>
      </c>
      <c r="I43" s="141" t="s">
        <v>1429</v>
      </c>
      <c r="J43" s="24" t="s">
        <v>1430</v>
      </c>
      <c r="K43" s="141" t="s">
        <v>1431</v>
      </c>
      <c r="L43" s="24" t="s">
        <v>1432</v>
      </c>
    </row>
    <row r="44" spans="1:12" ht="15.75" thickBot="1" x14ac:dyDescent="0.3">
      <c r="A44" s="207"/>
      <c r="B44" s="150" t="s">
        <v>1075</v>
      </c>
      <c r="C44" s="151" t="s">
        <v>1433</v>
      </c>
      <c r="D44" s="30" t="s">
        <v>1434</v>
      </c>
      <c r="E44" s="151" t="s">
        <v>1435</v>
      </c>
      <c r="F44" s="30" t="s">
        <v>1436</v>
      </c>
      <c r="G44" s="151" t="s">
        <v>1437</v>
      </c>
      <c r="H44" s="30" t="s">
        <v>1438</v>
      </c>
      <c r="I44" s="151" t="s">
        <v>1439</v>
      </c>
      <c r="J44" s="30" t="s">
        <v>1440</v>
      </c>
      <c r="K44" s="151" t="s">
        <v>1441</v>
      </c>
      <c r="L44" s="30" t="s">
        <v>1442</v>
      </c>
    </row>
    <row r="45" spans="1:12" x14ac:dyDescent="0.25">
      <c r="A45" s="204" t="s">
        <v>1443</v>
      </c>
      <c r="B45" s="136" t="s">
        <v>1394</v>
      </c>
      <c r="C45" s="137" t="s">
        <v>962</v>
      </c>
      <c r="D45" s="131" t="s">
        <v>918</v>
      </c>
      <c r="E45" s="137" t="s">
        <v>962</v>
      </c>
      <c r="F45" s="131" t="s">
        <v>1444</v>
      </c>
      <c r="G45" s="137" t="s">
        <v>962</v>
      </c>
      <c r="H45" s="131" t="s">
        <v>918</v>
      </c>
      <c r="I45" s="137" t="s">
        <v>962</v>
      </c>
      <c r="J45" s="131" t="s">
        <v>961</v>
      </c>
      <c r="K45" s="137" t="s">
        <v>962</v>
      </c>
      <c r="L45" s="131" t="s">
        <v>1445</v>
      </c>
    </row>
    <row r="46" spans="1:12" x14ac:dyDescent="0.25">
      <c r="A46" s="205"/>
      <c r="B46" s="140" t="s">
        <v>1404</v>
      </c>
      <c r="C46" s="141" t="s">
        <v>962</v>
      </c>
      <c r="D46" s="24" t="s">
        <v>1446</v>
      </c>
      <c r="E46" s="141" t="s">
        <v>1444</v>
      </c>
      <c r="F46" s="24" t="s">
        <v>1447</v>
      </c>
      <c r="G46" s="141" t="s">
        <v>869</v>
      </c>
      <c r="H46" s="24" t="s">
        <v>1448</v>
      </c>
      <c r="I46" s="141" t="s">
        <v>1449</v>
      </c>
      <c r="J46" s="24" t="s">
        <v>1450</v>
      </c>
      <c r="K46" s="141" t="s">
        <v>1444</v>
      </c>
      <c r="L46" s="24" t="s">
        <v>1451</v>
      </c>
    </row>
    <row r="47" spans="1:12" x14ac:dyDescent="0.25">
      <c r="A47" s="205"/>
      <c r="B47" s="140" t="s">
        <v>1053</v>
      </c>
      <c r="C47" s="141" t="s">
        <v>1452</v>
      </c>
      <c r="D47" s="24" t="s">
        <v>1453</v>
      </c>
      <c r="E47" s="141" t="s">
        <v>1454</v>
      </c>
      <c r="F47" s="24" t="s">
        <v>1455</v>
      </c>
      <c r="G47" s="141" t="s">
        <v>1456</v>
      </c>
      <c r="H47" s="24" t="s">
        <v>1457</v>
      </c>
      <c r="I47" s="141" t="s">
        <v>1458</v>
      </c>
      <c r="J47" s="24" t="s">
        <v>1459</v>
      </c>
      <c r="K47" s="141" t="s">
        <v>1460</v>
      </c>
      <c r="L47" s="24" t="s">
        <v>1461</v>
      </c>
    </row>
    <row r="48" spans="1:12" x14ac:dyDescent="0.25">
      <c r="A48" s="205"/>
      <c r="B48" s="140" t="s">
        <v>1064</v>
      </c>
      <c r="C48" s="141" t="s">
        <v>1462</v>
      </c>
      <c r="D48" s="24" t="s">
        <v>1463</v>
      </c>
      <c r="E48" s="141" t="s">
        <v>1464</v>
      </c>
      <c r="F48" s="24" t="s">
        <v>1465</v>
      </c>
      <c r="G48" s="141" t="s">
        <v>1466</v>
      </c>
      <c r="H48" s="24" t="s">
        <v>1467</v>
      </c>
      <c r="I48" s="141" t="s">
        <v>1468</v>
      </c>
      <c r="J48" s="24" t="s">
        <v>1422</v>
      </c>
      <c r="K48" s="141" t="s">
        <v>1468</v>
      </c>
      <c r="L48" s="24" t="s">
        <v>1469</v>
      </c>
    </row>
    <row r="49" spans="1:12" ht="15.75" thickBot="1" x14ac:dyDescent="0.3">
      <c r="A49" s="206"/>
      <c r="B49" s="143" t="s">
        <v>1075</v>
      </c>
      <c r="C49" s="144" t="s">
        <v>1470</v>
      </c>
      <c r="D49" s="54" t="s">
        <v>1471</v>
      </c>
      <c r="E49" s="144" t="s">
        <v>1472</v>
      </c>
      <c r="F49" s="54" t="s">
        <v>1473</v>
      </c>
      <c r="G49" s="144" t="s">
        <v>1447</v>
      </c>
      <c r="H49" s="54" t="s">
        <v>1474</v>
      </c>
      <c r="I49" s="144" t="s">
        <v>1475</v>
      </c>
      <c r="J49" s="54" t="s">
        <v>1476</v>
      </c>
      <c r="K49" s="144" t="s">
        <v>1477</v>
      </c>
      <c r="L49" s="54" t="s">
        <v>1478</v>
      </c>
    </row>
    <row r="50" spans="1:12" x14ac:dyDescent="0.25">
      <c r="A50" s="208" t="s">
        <v>1479</v>
      </c>
      <c r="B50" s="146" t="s">
        <v>1394</v>
      </c>
      <c r="C50" s="147" t="s">
        <v>1480</v>
      </c>
      <c r="D50" s="71" t="s">
        <v>872</v>
      </c>
      <c r="E50" s="147" t="s">
        <v>868</v>
      </c>
      <c r="F50" s="71" t="s">
        <v>1402</v>
      </c>
      <c r="G50" s="147" t="s">
        <v>872</v>
      </c>
      <c r="H50" s="71" t="s">
        <v>1481</v>
      </c>
      <c r="I50" s="147" t="s">
        <v>1402</v>
      </c>
      <c r="J50" s="71" t="s">
        <v>1482</v>
      </c>
      <c r="K50" s="147" t="s">
        <v>1402</v>
      </c>
      <c r="L50" s="71" t="s">
        <v>1483</v>
      </c>
    </row>
    <row r="51" spans="1:12" x14ac:dyDescent="0.25">
      <c r="A51" s="205"/>
      <c r="B51" s="140" t="s">
        <v>1404</v>
      </c>
      <c r="C51" s="141" t="s">
        <v>1000</v>
      </c>
      <c r="D51" s="24" t="s">
        <v>1484</v>
      </c>
      <c r="E51" s="141" t="s">
        <v>1485</v>
      </c>
      <c r="F51" s="24" t="s">
        <v>1486</v>
      </c>
      <c r="G51" s="141" t="s">
        <v>1487</v>
      </c>
      <c r="H51" s="24" t="s">
        <v>1488</v>
      </c>
      <c r="I51" s="141" t="s">
        <v>923</v>
      </c>
      <c r="J51" s="24" t="s">
        <v>1489</v>
      </c>
      <c r="K51" s="141" t="s">
        <v>1490</v>
      </c>
      <c r="L51" s="24" t="s">
        <v>1491</v>
      </c>
    </row>
    <row r="52" spans="1:12" x14ac:dyDescent="0.25">
      <c r="A52" s="205"/>
      <c r="B52" s="140" t="s">
        <v>1053</v>
      </c>
      <c r="C52" s="141" t="s">
        <v>1492</v>
      </c>
      <c r="D52" s="24" t="s">
        <v>1490</v>
      </c>
      <c r="E52" s="141" t="s">
        <v>1493</v>
      </c>
      <c r="F52" s="24" t="s">
        <v>1494</v>
      </c>
      <c r="G52" s="141" t="s">
        <v>1495</v>
      </c>
      <c r="H52" s="24" t="s">
        <v>1496</v>
      </c>
      <c r="I52" s="141" t="s">
        <v>927</v>
      </c>
      <c r="J52" s="24" t="s">
        <v>1497</v>
      </c>
      <c r="K52" s="141" t="s">
        <v>1498</v>
      </c>
      <c r="L52" s="24" t="s">
        <v>1499</v>
      </c>
    </row>
    <row r="53" spans="1:12" x14ac:dyDescent="0.25">
      <c r="A53" s="205"/>
      <c r="B53" s="140" t="s">
        <v>1064</v>
      </c>
      <c r="C53" s="141" t="s">
        <v>1472</v>
      </c>
      <c r="D53" s="24" t="s">
        <v>1500</v>
      </c>
      <c r="E53" s="141" t="s">
        <v>1501</v>
      </c>
      <c r="F53" s="24" t="s">
        <v>1502</v>
      </c>
      <c r="G53" s="141" t="s">
        <v>1477</v>
      </c>
      <c r="H53" s="24" t="s">
        <v>1503</v>
      </c>
      <c r="I53" s="141" t="s">
        <v>964</v>
      </c>
      <c r="J53" s="24" t="s">
        <v>1504</v>
      </c>
      <c r="K53" s="141" t="s">
        <v>1505</v>
      </c>
      <c r="L53" s="24" t="s">
        <v>1506</v>
      </c>
    </row>
    <row r="54" spans="1:12" ht="15.75" thickBot="1" x14ac:dyDescent="0.3">
      <c r="A54" s="206"/>
      <c r="B54" s="143" t="s">
        <v>1075</v>
      </c>
      <c r="C54" s="144" t="s">
        <v>1474</v>
      </c>
      <c r="D54" s="54" t="s">
        <v>1507</v>
      </c>
      <c r="E54" s="144" t="s">
        <v>1508</v>
      </c>
      <c r="F54" s="54" t="s">
        <v>1509</v>
      </c>
      <c r="G54" s="144" t="s">
        <v>1486</v>
      </c>
      <c r="H54" s="54" t="s">
        <v>1510</v>
      </c>
      <c r="I54" s="144" t="s">
        <v>1511</v>
      </c>
      <c r="J54" s="54" t="s">
        <v>1512</v>
      </c>
      <c r="K54" s="144" t="s">
        <v>964</v>
      </c>
      <c r="L54" s="54" t="s">
        <v>1513</v>
      </c>
    </row>
  </sheetData>
  <mergeCells count="16">
    <mergeCell ref="K2:L2"/>
    <mergeCell ref="A2:B3"/>
    <mergeCell ref="C2:D2"/>
    <mergeCell ref="E2:F2"/>
    <mergeCell ref="G2:H2"/>
    <mergeCell ref="I2:J2"/>
    <mergeCell ref="A34:A38"/>
    <mergeCell ref="A40:A44"/>
    <mergeCell ref="A45:A49"/>
    <mergeCell ref="A50:A54"/>
    <mergeCell ref="A4:A8"/>
    <mergeCell ref="A9:A13"/>
    <mergeCell ref="A14:A18"/>
    <mergeCell ref="A19:A23"/>
    <mergeCell ref="A24:A28"/>
    <mergeCell ref="A29:A33"/>
  </mergeCells>
  <pageMargins left="0.25" right="0.25" top="0.75" bottom="0.75" header="0.3" footer="0.3"/>
  <pageSetup scale="63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20812-B3C9-4B83-B840-73AA75AE0B03}">
  <sheetPr>
    <pageSetUpPr fitToPage="1"/>
  </sheetPr>
  <dimension ref="A1:M28"/>
  <sheetViews>
    <sheetView zoomScale="96" workbookViewId="0">
      <pane xSplit="1" ySplit="4" topLeftCell="G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 x14ac:dyDescent="0.25"/>
  <cols>
    <col min="1" max="1" width="40" customWidth="1"/>
    <col min="2" max="11" width="20.85546875" style="20" customWidth="1"/>
    <col min="12" max="12" width="18.85546875" style="1" customWidth="1"/>
    <col min="13" max="17" width="18.85546875" customWidth="1"/>
  </cols>
  <sheetData>
    <row r="1" spans="1:12" x14ac:dyDescent="0.25">
      <c r="A1" s="66" t="s">
        <v>3070</v>
      </c>
    </row>
    <row r="2" spans="1:12" ht="15.75" thickBot="1" x14ac:dyDescent="0.3"/>
    <row r="3" spans="1:12" x14ac:dyDescent="0.25">
      <c r="A3" s="67"/>
      <c r="B3" s="197" t="s">
        <v>35</v>
      </c>
      <c r="C3" s="198"/>
      <c r="D3" s="197" t="s">
        <v>36</v>
      </c>
      <c r="E3" s="198"/>
      <c r="F3" s="197" t="s">
        <v>327</v>
      </c>
      <c r="G3" s="198"/>
      <c r="H3" s="197" t="s">
        <v>328</v>
      </c>
      <c r="I3" s="198"/>
      <c r="J3" s="199" t="s">
        <v>39</v>
      </c>
      <c r="K3" s="200"/>
    </row>
    <row r="4" spans="1:12" ht="15.75" thickBot="1" x14ac:dyDescent="0.3">
      <c r="A4" s="61"/>
      <c r="B4" s="75" t="s">
        <v>330</v>
      </c>
      <c r="C4" s="75" t="s">
        <v>331</v>
      </c>
      <c r="D4" s="75" t="s">
        <v>330</v>
      </c>
      <c r="E4" s="75" t="s">
        <v>331</v>
      </c>
      <c r="F4" s="75" t="s">
        <v>330</v>
      </c>
      <c r="G4" s="75" t="s">
        <v>331</v>
      </c>
      <c r="H4" s="75" t="s">
        <v>330</v>
      </c>
      <c r="I4" s="75" t="s">
        <v>331</v>
      </c>
      <c r="J4" s="75" t="s">
        <v>330</v>
      </c>
      <c r="K4" s="76" t="s">
        <v>331</v>
      </c>
      <c r="L4" s="45"/>
    </row>
    <row r="5" spans="1:12" x14ac:dyDescent="0.25">
      <c r="A5" s="201" t="s">
        <v>3068</v>
      </c>
      <c r="B5" s="202"/>
      <c r="C5" s="202"/>
      <c r="D5" s="202"/>
      <c r="E5" s="202"/>
      <c r="F5" s="202"/>
      <c r="G5" s="202"/>
      <c r="H5" s="202"/>
      <c r="I5" s="202"/>
      <c r="J5" s="202"/>
      <c r="K5" s="203"/>
    </row>
    <row r="6" spans="1:12" x14ac:dyDescent="0.25">
      <c r="A6" s="194" t="s">
        <v>3044</v>
      </c>
      <c r="B6" s="195"/>
      <c r="C6" s="195"/>
      <c r="D6" s="195"/>
      <c r="E6" s="195"/>
      <c r="F6" s="195"/>
      <c r="G6" s="195"/>
      <c r="H6" s="195"/>
      <c r="I6" s="195"/>
      <c r="J6" s="195"/>
      <c r="K6" s="196"/>
    </row>
    <row r="7" spans="1:12" s="47" customFormat="1" x14ac:dyDescent="0.25">
      <c r="A7" s="53" t="s">
        <v>833</v>
      </c>
      <c r="B7" s="25" t="s">
        <v>3067</v>
      </c>
      <c r="C7" s="25" t="s">
        <v>3066</v>
      </c>
      <c r="D7" s="25" t="s">
        <v>3065</v>
      </c>
      <c r="E7" s="25" t="s">
        <v>3064</v>
      </c>
      <c r="F7" s="25" t="s">
        <v>3063</v>
      </c>
      <c r="G7" s="56" t="s">
        <v>3062</v>
      </c>
      <c r="H7" s="25" t="s">
        <v>3061</v>
      </c>
      <c r="I7" s="25" t="s">
        <v>3060</v>
      </c>
      <c r="J7" s="25" t="s">
        <v>3059</v>
      </c>
      <c r="K7" s="34" t="s">
        <v>3058</v>
      </c>
      <c r="L7" s="46"/>
    </row>
    <row r="8" spans="1:12" x14ac:dyDescent="0.25">
      <c r="A8" s="48" t="s">
        <v>844</v>
      </c>
      <c r="B8" s="23" t="s">
        <v>2943</v>
      </c>
      <c r="C8" s="23" t="s">
        <v>2941</v>
      </c>
      <c r="D8" s="23" t="s">
        <v>2956</v>
      </c>
      <c r="E8" s="23" t="s">
        <v>2954</v>
      </c>
      <c r="F8" s="23" t="s">
        <v>2968</v>
      </c>
      <c r="G8" s="58" t="s">
        <v>2966</v>
      </c>
      <c r="H8" s="23" t="s">
        <v>2983</v>
      </c>
      <c r="I8" s="23" t="s">
        <v>2979</v>
      </c>
      <c r="J8" s="23" t="s">
        <v>3002</v>
      </c>
      <c r="K8" s="24" t="s">
        <v>2999</v>
      </c>
    </row>
    <row r="9" spans="1:12" x14ac:dyDescent="0.25">
      <c r="A9" s="194" t="s">
        <v>832</v>
      </c>
      <c r="B9" s="195"/>
      <c r="C9" s="195"/>
      <c r="D9" s="195"/>
      <c r="E9" s="195"/>
      <c r="F9" s="195"/>
      <c r="G9" s="195"/>
      <c r="H9" s="195"/>
      <c r="I9" s="195"/>
      <c r="J9" s="195"/>
      <c r="K9" s="196"/>
    </row>
    <row r="10" spans="1:12" s="47" customFormat="1" x14ac:dyDescent="0.25">
      <c r="A10" s="53" t="s">
        <v>833</v>
      </c>
      <c r="B10" s="25" t="s">
        <v>834</v>
      </c>
      <c r="C10" s="25" t="s">
        <v>835</v>
      </c>
      <c r="D10" s="25" t="s">
        <v>836</v>
      </c>
      <c r="E10" s="25" t="s">
        <v>837</v>
      </c>
      <c r="F10" s="25" t="s">
        <v>3057</v>
      </c>
      <c r="G10" s="56" t="s">
        <v>839</v>
      </c>
      <c r="H10" s="25" t="s">
        <v>3056</v>
      </c>
      <c r="I10" s="25" t="s">
        <v>841</v>
      </c>
      <c r="J10" s="25" t="s">
        <v>3055</v>
      </c>
      <c r="K10" s="34" t="s">
        <v>843</v>
      </c>
      <c r="L10" s="46"/>
    </row>
    <row r="11" spans="1:12" x14ac:dyDescent="0.25">
      <c r="A11" s="48" t="s">
        <v>866</v>
      </c>
      <c r="B11" s="23" t="s">
        <v>868</v>
      </c>
      <c r="C11" s="23" t="s">
        <v>868</v>
      </c>
      <c r="D11" s="23" t="s">
        <v>870</v>
      </c>
      <c r="E11" s="23" t="s">
        <v>867</v>
      </c>
      <c r="F11" s="23" t="s">
        <v>1397</v>
      </c>
      <c r="G11" s="58" t="s">
        <v>3054</v>
      </c>
      <c r="H11" s="23" t="s">
        <v>870</v>
      </c>
      <c r="I11" s="23" t="s">
        <v>867</v>
      </c>
      <c r="J11" s="23" t="s">
        <v>870</v>
      </c>
      <c r="K11" s="24" t="s">
        <v>873</v>
      </c>
    </row>
    <row r="12" spans="1:12" x14ac:dyDescent="0.25">
      <c r="A12" s="48" t="s">
        <v>874</v>
      </c>
      <c r="B12" s="23" t="s">
        <v>3053</v>
      </c>
      <c r="C12" s="23" t="s">
        <v>3052</v>
      </c>
      <c r="D12" s="23" t="s">
        <v>3051</v>
      </c>
      <c r="E12" s="23" t="s">
        <v>1483</v>
      </c>
      <c r="F12" s="23" t="s">
        <v>3050</v>
      </c>
      <c r="G12" s="58" t="s">
        <v>3049</v>
      </c>
      <c r="H12" s="23" t="s">
        <v>3048</v>
      </c>
      <c r="I12" s="23" t="s">
        <v>3047</v>
      </c>
      <c r="J12" s="23" t="s">
        <v>3046</v>
      </c>
      <c r="K12" s="24" t="s">
        <v>919</v>
      </c>
    </row>
    <row r="13" spans="1:12" s="33" customFormat="1" ht="15.75" thickBot="1" x14ac:dyDescent="0.3">
      <c r="A13" s="51" t="s">
        <v>844</v>
      </c>
      <c r="B13" s="29" t="s">
        <v>845</v>
      </c>
      <c r="C13" s="29" t="s">
        <v>846</v>
      </c>
      <c r="D13" s="29" t="s">
        <v>847</v>
      </c>
      <c r="E13" s="29" t="s">
        <v>848</v>
      </c>
      <c r="F13" s="29" t="s">
        <v>849</v>
      </c>
      <c r="G13" s="57" t="s">
        <v>850</v>
      </c>
      <c r="H13" s="29" t="s">
        <v>2985</v>
      </c>
      <c r="I13" s="29" t="s">
        <v>2981</v>
      </c>
      <c r="J13" s="29" t="s">
        <v>3004</v>
      </c>
      <c r="K13" s="32" t="s">
        <v>854</v>
      </c>
    </row>
    <row r="14" spans="1:12" s="33" customFormat="1" ht="15" customHeight="1" x14ac:dyDescent="0.25">
      <c r="A14" s="201" t="s">
        <v>3045</v>
      </c>
      <c r="B14" s="202"/>
      <c r="C14" s="202"/>
      <c r="D14" s="202"/>
      <c r="E14" s="202"/>
      <c r="F14" s="202"/>
      <c r="G14" s="202"/>
      <c r="H14" s="202"/>
      <c r="I14" s="202"/>
      <c r="J14" s="202"/>
      <c r="K14" s="203"/>
    </row>
    <row r="15" spans="1:12" s="52" customFormat="1" x14ac:dyDescent="0.25">
      <c r="A15" s="194" t="s">
        <v>3044</v>
      </c>
      <c r="B15" s="195"/>
      <c r="C15" s="195"/>
      <c r="D15" s="195"/>
      <c r="E15" s="195"/>
      <c r="F15" s="195"/>
      <c r="G15" s="195"/>
      <c r="H15" s="195"/>
      <c r="I15" s="195"/>
      <c r="J15" s="195"/>
      <c r="K15" s="196"/>
    </row>
    <row r="16" spans="1:12" s="52" customFormat="1" x14ac:dyDescent="0.25">
      <c r="A16" s="48" t="s">
        <v>833</v>
      </c>
      <c r="B16" s="25" t="s">
        <v>3043</v>
      </c>
      <c r="C16" s="25" t="s">
        <v>3042</v>
      </c>
      <c r="D16" s="25" t="s">
        <v>3041</v>
      </c>
      <c r="E16" s="25" t="s">
        <v>3040</v>
      </c>
      <c r="F16" s="25" t="s">
        <v>3039</v>
      </c>
      <c r="G16" s="56" t="s">
        <v>3038</v>
      </c>
      <c r="H16" s="25" t="s">
        <v>3037</v>
      </c>
      <c r="I16" s="25" t="s">
        <v>3036</v>
      </c>
      <c r="J16" s="25" t="s">
        <v>3035</v>
      </c>
      <c r="K16" s="34" t="s">
        <v>3034</v>
      </c>
      <c r="L16" s="36"/>
    </row>
    <row r="17" spans="1:13" s="33" customFormat="1" x14ac:dyDescent="0.25">
      <c r="A17" s="53" t="s">
        <v>844</v>
      </c>
      <c r="B17" s="25" t="s">
        <v>2944</v>
      </c>
      <c r="C17" s="25" t="s">
        <v>2942</v>
      </c>
      <c r="D17" s="25" t="s">
        <v>2957</v>
      </c>
      <c r="E17" s="25" t="s">
        <v>2955</v>
      </c>
      <c r="F17" s="25" t="s">
        <v>2969</v>
      </c>
      <c r="G17" s="56" t="s">
        <v>2967</v>
      </c>
      <c r="H17" s="25" t="s">
        <v>2984</v>
      </c>
      <c r="I17" s="25" t="s">
        <v>2980</v>
      </c>
      <c r="J17" s="25" t="s">
        <v>3003</v>
      </c>
      <c r="K17" s="34" t="s">
        <v>3000</v>
      </c>
    </row>
    <row r="18" spans="1:13" s="52" customFormat="1" x14ac:dyDescent="0.25">
      <c r="A18" s="194" t="s">
        <v>832</v>
      </c>
      <c r="B18" s="195"/>
      <c r="C18" s="195"/>
      <c r="D18" s="195"/>
      <c r="E18" s="195"/>
      <c r="F18" s="195"/>
      <c r="G18" s="195"/>
      <c r="H18" s="195"/>
      <c r="I18" s="195"/>
      <c r="J18" s="195"/>
      <c r="K18" s="196"/>
    </row>
    <row r="19" spans="1:13" s="52" customFormat="1" x14ac:dyDescent="0.25">
      <c r="A19" s="48" t="s">
        <v>833</v>
      </c>
      <c r="B19" s="25" t="s">
        <v>3033</v>
      </c>
      <c r="C19" s="25" t="s">
        <v>3032</v>
      </c>
      <c r="D19" s="25" t="s">
        <v>3031</v>
      </c>
      <c r="E19" s="25" t="s">
        <v>3030</v>
      </c>
      <c r="F19" s="25" t="s">
        <v>3029</v>
      </c>
      <c r="G19" s="56" t="s">
        <v>3028</v>
      </c>
      <c r="H19" s="25" t="s">
        <v>2328</v>
      </c>
      <c r="I19" s="25" t="s">
        <v>2329</v>
      </c>
      <c r="J19" s="25" t="s">
        <v>2330</v>
      </c>
      <c r="K19" s="34" t="s">
        <v>2331</v>
      </c>
    </row>
    <row r="20" spans="1:13" s="52" customFormat="1" x14ac:dyDescent="0.25">
      <c r="A20" s="48" t="s">
        <v>866</v>
      </c>
      <c r="B20" s="23" t="s">
        <v>872</v>
      </c>
      <c r="C20" s="23" t="s">
        <v>868</v>
      </c>
      <c r="D20" s="23" t="s">
        <v>870</v>
      </c>
      <c r="E20" s="23" t="s">
        <v>3027</v>
      </c>
      <c r="F20" s="23" t="s">
        <v>999</v>
      </c>
      <c r="G20" s="58" t="s">
        <v>1481</v>
      </c>
      <c r="H20" s="23" t="s">
        <v>868</v>
      </c>
      <c r="I20" s="23" t="s">
        <v>870</v>
      </c>
      <c r="J20" s="23" t="s">
        <v>870</v>
      </c>
      <c r="K20" s="24" t="s">
        <v>869</v>
      </c>
      <c r="L20" s="1"/>
      <c r="M20"/>
    </row>
    <row r="21" spans="1:13" s="52" customFormat="1" x14ac:dyDescent="0.25">
      <c r="A21" s="48" t="s">
        <v>874</v>
      </c>
      <c r="B21" s="23" t="s">
        <v>1487</v>
      </c>
      <c r="C21" s="23" t="s">
        <v>3026</v>
      </c>
      <c r="D21" s="23" t="s">
        <v>3025</v>
      </c>
      <c r="E21" s="23" t="s">
        <v>3024</v>
      </c>
      <c r="F21" s="23" t="s">
        <v>3023</v>
      </c>
      <c r="G21" s="58" t="s">
        <v>3022</v>
      </c>
      <c r="H21" s="23" t="s">
        <v>3021</v>
      </c>
      <c r="I21" s="23" t="s">
        <v>3020</v>
      </c>
      <c r="J21" s="23" t="s">
        <v>3019</v>
      </c>
      <c r="K21" s="24" t="s">
        <v>3018</v>
      </c>
      <c r="L21" s="1"/>
      <c r="M21"/>
    </row>
    <row r="22" spans="1:13" s="52" customFormat="1" ht="15.75" thickBot="1" x14ac:dyDescent="0.3">
      <c r="A22" s="49" t="s">
        <v>844</v>
      </c>
      <c r="B22" s="31" t="s">
        <v>1572</v>
      </c>
      <c r="C22" s="31" t="s">
        <v>1567</v>
      </c>
      <c r="D22" s="31" t="s">
        <v>1822</v>
      </c>
      <c r="E22" s="31" t="s">
        <v>1817</v>
      </c>
      <c r="F22" s="31" t="s">
        <v>2047</v>
      </c>
      <c r="G22" s="59" t="s">
        <v>2042</v>
      </c>
      <c r="H22" s="31" t="s">
        <v>2986</v>
      </c>
      <c r="I22" s="31" t="s">
        <v>2982</v>
      </c>
      <c r="J22" s="31" t="s">
        <v>3005</v>
      </c>
      <c r="K22" s="54" t="s">
        <v>3001</v>
      </c>
      <c r="L22" s="1"/>
      <c r="M22"/>
    </row>
    <row r="23" spans="1:13" s="52" customFormat="1" x14ac:dyDescent="0.25">
      <c r="A23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1"/>
      <c r="M23"/>
    </row>
    <row r="24" spans="1:13" x14ac:dyDescent="0.25">
      <c r="A24" t="s">
        <v>1023</v>
      </c>
    </row>
    <row r="25" spans="1:13" x14ac:dyDescent="0.25">
      <c r="A25" s="33" t="s">
        <v>1024</v>
      </c>
    </row>
    <row r="26" spans="1:13" x14ac:dyDescent="0.25">
      <c r="A26" s="156" t="s">
        <v>2859</v>
      </c>
    </row>
    <row r="28" spans="1:13" x14ac:dyDescent="0.25">
      <c r="A28" s="18"/>
    </row>
  </sheetData>
  <mergeCells count="11">
    <mergeCell ref="B3:C3"/>
    <mergeCell ref="D3:E3"/>
    <mergeCell ref="F3:G3"/>
    <mergeCell ref="H3:I3"/>
    <mergeCell ref="J3:K3"/>
    <mergeCell ref="A5:K5"/>
    <mergeCell ref="A18:K18"/>
    <mergeCell ref="A6:K6"/>
    <mergeCell ref="A9:K9"/>
    <mergeCell ref="A14:K14"/>
    <mergeCell ref="A15:K15"/>
  </mergeCells>
  <pageMargins left="0.25" right="0.25" top="0.75" bottom="0.75" header="0.3" footer="0.3"/>
  <pageSetup scale="54" orientation="landscape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A17F4-F82C-43CC-85E5-96FC81430892}">
  <sheetPr>
    <pageSetUpPr fitToPage="1"/>
  </sheetPr>
  <dimension ref="A1:I35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36" sqref="B36"/>
    </sheetView>
  </sheetViews>
  <sheetFormatPr defaultRowHeight="15" x14ac:dyDescent="0.25"/>
  <cols>
    <col min="1" max="1" width="17.42578125" customWidth="1"/>
    <col min="2" max="7" width="16.85546875" style="20" customWidth="1"/>
  </cols>
  <sheetData>
    <row r="1" spans="1:8" x14ac:dyDescent="0.25">
      <c r="A1" s="19" t="s">
        <v>3069</v>
      </c>
    </row>
    <row r="2" spans="1:8" x14ac:dyDescent="0.25">
      <c r="A2" s="18"/>
      <c r="B2" s="223" t="s">
        <v>3017</v>
      </c>
      <c r="C2" s="224"/>
      <c r="D2" s="224" t="s">
        <v>1516</v>
      </c>
      <c r="E2" s="224"/>
      <c r="F2" s="224" t="s">
        <v>2937</v>
      </c>
      <c r="G2" s="225"/>
      <c r="H2" s="19" t="s">
        <v>2937</v>
      </c>
    </row>
    <row r="3" spans="1:8" ht="15.75" thickBot="1" x14ac:dyDescent="0.3">
      <c r="A3" s="22" t="s">
        <v>1521</v>
      </c>
      <c r="B3" s="125" t="s">
        <v>1522</v>
      </c>
      <c r="C3" s="126" t="s">
        <v>222</v>
      </c>
      <c r="D3" s="126" t="s">
        <v>1522</v>
      </c>
      <c r="E3" s="126" t="s">
        <v>222</v>
      </c>
      <c r="F3" s="126" t="s">
        <v>1522</v>
      </c>
      <c r="G3" s="127" t="s">
        <v>222</v>
      </c>
      <c r="H3" s="157" t="s">
        <v>1523</v>
      </c>
    </row>
    <row r="4" spans="1:8" x14ac:dyDescent="0.25">
      <c r="A4" s="22"/>
      <c r="B4" s="220" t="s">
        <v>35</v>
      </c>
      <c r="C4" s="221"/>
      <c r="D4" s="221"/>
      <c r="E4" s="221"/>
      <c r="F4" s="221"/>
      <c r="G4" s="222"/>
    </row>
    <row r="5" spans="1:8" x14ac:dyDescent="0.25">
      <c r="A5" s="22" t="s">
        <v>1523</v>
      </c>
      <c r="B5" s="69" t="s">
        <v>2938</v>
      </c>
      <c r="C5" s="25" t="s">
        <v>2939</v>
      </c>
      <c r="D5" s="25" t="s">
        <v>1524</v>
      </c>
      <c r="E5" s="25" t="s">
        <v>1525</v>
      </c>
      <c r="F5" s="25" t="s">
        <v>2940</v>
      </c>
      <c r="G5" s="34" t="s">
        <v>2940</v>
      </c>
      <c r="H5" s="20" t="s">
        <v>2940</v>
      </c>
    </row>
    <row r="6" spans="1:8" x14ac:dyDescent="0.25">
      <c r="A6" s="22" t="s">
        <v>331</v>
      </c>
      <c r="B6" s="69" t="s">
        <v>2941</v>
      </c>
      <c r="C6" s="25" t="s">
        <v>2942</v>
      </c>
      <c r="D6" s="25" t="s">
        <v>846</v>
      </c>
      <c r="E6" s="25" t="s">
        <v>1567</v>
      </c>
      <c r="F6" s="25" t="s">
        <v>2940</v>
      </c>
      <c r="G6" s="34" t="s">
        <v>2940</v>
      </c>
      <c r="H6" s="20" t="s">
        <v>2940</v>
      </c>
    </row>
    <row r="7" spans="1:8" x14ac:dyDescent="0.25">
      <c r="A7" s="22" t="s">
        <v>330</v>
      </c>
      <c r="B7" s="69" t="s">
        <v>2943</v>
      </c>
      <c r="C7" s="25" t="s">
        <v>2944</v>
      </c>
      <c r="D7" s="25" t="s">
        <v>845</v>
      </c>
      <c r="E7" s="25" t="s">
        <v>1572</v>
      </c>
      <c r="F7" s="25" t="s">
        <v>2940</v>
      </c>
      <c r="G7" s="34" t="s">
        <v>2940</v>
      </c>
      <c r="H7" s="20" t="s">
        <v>2940</v>
      </c>
    </row>
    <row r="8" spans="1:8" x14ac:dyDescent="0.25">
      <c r="A8" s="22" t="s">
        <v>1694</v>
      </c>
      <c r="B8" s="69" t="s">
        <v>2945</v>
      </c>
      <c r="C8" s="25" t="s">
        <v>2946</v>
      </c>
      <c r="D8" s="25" t="s">
        <v>1695</v>
      </c>
      <c r="E8" s="25" t="s">
        <v>1696</v>
      </c>
      <c r="F8" s="25">
        <v>4.7999999999999996E-3</v>
      </c>
      <c r="G8" s="34" t="s">
        <v>2940</v>
      </c>
      <c r="H8" s="20">
        <v>5.7000000000000002E-3</v>
      </c>
    </row>
    <row r="9" spans="1:8" ht="15.75" thickBot="1" x14ac:dyDescent="0.3">
      <c r="A9" s="28" t="s">
        <v>2947</v>
      </c>
      <c r="B9" s="80" t="s">
        <v>2948</v>
      </c>
      <c r="C9" s="29" t="s">
        <v>2949</v>
      </c>
      <c r="D9" s="29" t="s">
        <v>2950</v>
      </c>
      <c r="E9" s="29" t="s">
        <v>2951</v>
      </c>
      <c r="F9" s="29">
        <v>8.0000000000000004E-4</v>
      </c>
      <c r="G9" s="32" t="s">
        <v>2940</v>
      </c>
      <c r="H9" s="119">
        <v>3.5999999999999999E-3</v>
      </c>
    </row>
    <row r="10" spans="1:8" x14ac:dyDescent="0.25">
      <c r="A10" s="22"/>
      <c r="B10" s="220" t="s">
        <v>36</v>
      </c>
      <c r="C10" s="221"/>
      <c r="D10" s="221"/>
      <c r="E10" s="221"/>
      <c r="F10" s="221"/>
      <c r="G10" s="222"/>
      <c r="H10" s="20"/>
    </row>
    <row r="11" spans="1:8" x14ac:dyDescent="0.25">
      <c r="A11" s="22" t="s">
        <v>1523</v>
      </c>
      <c r="B11" s="69" t="s">
        <v>2952</v>
      </c>
      <c r="C11" s="25" t="s">
        <v>2953</v>
      </c>
      <c r="D11" s="25" t="s">
        <v>1778</v>
      </c>
      <c r="E11" s="25" t="s">
        <v>1779</v>
      </c>
      <c r="F11" s="25" t="s">
        <v>2940</v>
      </c>
      <c r="G11" s="34" t="s">
        <v>2940</v>
      </c>
      <c r="H11" s="20" t="s">
        <v>2940</v>
      </c>
    </row>
    <row r="12" spans="1:8" x14ac:dyDescent="0.25">
      <c r="A12" s="22" t="s">
        <v>331</v>
      </c>
      <c r="B12" s="69" t="s">
        <v>2954</v>
      </c>
      <c r="C12" s="25" t="s">
        <v>2955</v>
      </c>
      <c r="D12" s="25" t="s">
        <v>848</v>
      </c>
      <c r="E12" s="25" t="s">
        <v>1817</v>
      </c>
      <c r="F12" s="25" t="s">
        <v>2940</v>
      </c>
      <c r="G12" s="34" t="s">
        <v>2940</v>
      </c>
      <c r="H12" s="20" t="s">
        <v>2940</v>
      </c>
    </row>
    <row r="13" spans="1:8" x14ac:dyDescent="0.25">
      <c r="A13" s="22" t="s">
        <v>330</v>
      </c>
      <c r="B13" s="69" t="s">
        <v>2956</v>
      </c>
      <c r="C13" s="25" t="s">
        <v>2957</v>
      </c>
      <c r="D13" s="25" t="s">
        <v>847</v>
      </c>
      <c r="E13" s="25" t="s">
        <v>1822</v>
      </c>
      <c r="F13" s="25" t="s">
        <v>2940</v>
      </c>
      <c r="G13" s="34" t="s">
        <v>2940</v>
      </c>
      <c r="H13" s="20" t="s">
        <v>2940</v>
      </c>
    </row>
    <row r="14" spans="1:8" x14ac:dyDescent="0.25">
      <c r="A14" s="22" t="s">
        <v>1694</v>
      </c>
      <c r="B14" s="69" t="s">
        <v>2958</v>
      </c>
      <c r="C14" s="25" t="s">
        <v>1733</v>
      </c>
      <c r="D14" s="25" t="s">
        <v>1933</v>
      </c>
      <c r="E14" s="25" t="s">
        <v>1934</v>
      </c>
      <c r="F14" s="25">
        <v>4.8399999999999999E-2</v>
      </c>
      <c r="G14" s="34">
        <v>3.1899999999999998E-2</v>
      </c>
      <c r="H14" s="20">
        <v>3.5999999999999999E-3</v>
      </c>
    </row>
    <row r="15" spans="1:8" ht="15.75" thickBot="1" x14ac:dyDescent="0.3">
      <c r="A15" s="28" t="s">
        <v>2947</v>
      </c>
      <c r="B15" s="80" t="s">
        <v>2959</v>
      </c>
      <c r="C15" s="29" t="s">
        <v>2960</v>
      </c>
      <c r="D15" s="29" t="s">
        <v>2961</v>
      </c>
      <c r="E15" s="29" t="s">
        <v>2962</v>
      </c>
      <c r="F15" s="29">
        <v>3.2000000000000002E-3</v>
      </c>
      <c r="G15" s="158">
        <v>4.0000000000000001E-3</v>
      </c>
      <c r="H15" s="20" t="s">
        <v>2963</v>
      </c>
    </row>
    <row r="16" spans="1:8" x14ac:dyDescent="0.25">
      <c r="A16" s="22"/>
      <c r="B16" s="220" t="s">
        <v>327</v>
      </c>
      <c r="C16" s="221"/>
      <c r="D16" s="221"/>
      <c r="E16" s="221"/>
      <c r="F16" s="221"/>
      <c r="G16" s="222"/>
      <c r="H16" s="20"/>
    </row>
    <row r="17" spans="1:9" x14ac:dyDescent="0.25">
      <c r="A17" s="22" t="s">
        <v>1523</v>
      </c>
      <c r="B17" s="69" t="s">
        <v>2964</v>
      </c>
      <c r="C17" s="25" t="s">
        <v>2965</v>
      </c>
      <c r="D17" s="25" t="s">
        <v>2002</v>
      </c>
      <c r="E17" s="25" t="s">
        <v>2003</v>
      </c>
      <c r="F17" s="25" t="s">
        <v>2940</v>
      </c>
      <c r="G17" s="34" t="s">
        <v>2940</v>
      </c>
      <c r="H17" s="20" t="s">
        <v>2940</v>
      </c>
    </row>
    <row r="18" spans="1:9" x14ac:dyDescent="0.25">
      <c r="A18" s="22" t="s">
        <v>331</v>
      </c>
      <c r="B18" s="69" t="s">
        <v>2966</v>
      </c>
      <c r="C18" s="25" t="s">
        <v>2967</v>
      </c>
      <c r="D18" s="25" t="s">
        <v>850</v>
      </c>
      <c r="E18" s="25" t="s">
        <v>2042</v>
      </c>
      <c r="F18" s="25" t="s">
        <v>2940</v>
      </c>
      <c r="G18" s="34" t="s">
        <v>2940</v>
      </c>
      <c r="H18" s="20" t="s">
        <v>2940</v>
      </c>
    </row>
    <row r="19" spans="1:9" x14ac:dyDescent="0.25">
      <c r="A19" s="22" t="s">
        <v>330</v>
      </c>
      <c r="B19" s="69" t="s">
        <v>2968</v>
      </c>
      <c r="C19" s="25" t="s">
        <v>2969</v>
      </c>
      <c r="D19" s="25" t="s">
        <v>849</v>
      </c>
      <c r="E19" s="25" t="s">
        <v>2047</v>
      </c>
      <c r="F19" s="25" t="s">
        <v>2940</v>
      </c>
      <c r="G19" s="34" t="s">
        <v>2940</v>
      </c>
      <c r="H19" s="20" t="s">
        <v>2940</v>
      </c>
    </row>
    <row r="20" spans="1:9" x14ac:dyDescent="0.25">
      <c r="A20" s="22" t="s">
        <v>1694</v>
      </c>
      <c r="B20" s="69" t="s">
        <v>2970</v>
      </c>
      <c r="C20" s="25" t="s">
        <v>2971</v>
      </c>
      <c r="D20" s="25" t="s">
        <v>2161</v>
      </c>
      <c r="E20" s="25" t="s">
        <v>2162</v>
      </c>
      <c r="F20" s="25">
        <v>5.8999999999999999E-3</v>
      </c>
      <c r="G20" s="34" t="s">
        <v>2940</v>
      </c>
      <c r="H20" s="119">
        <v>5.4000000000000003E-3</v>
      </c>
    </row>
    <row r="21" spans="1:9" ht="15.75" thickBot="1" x14ac:dyDescent="0.3">
      <c r="A21" s="28" t="s">
        <v>2947</v>
      </c>
      <c r="B21" s="80" t="s">
        <v>2972</v>
      </c>
      <c r="C21" s="29" t="s">
        <v>2973</v>
      </c>
      <c r="D21" s="29" t="s">
        <v>2974</v>
      </c>
      <c r="E21" s="29" t="s">
        <v>2071</v>
      </c>
      <c r="F21" s="29">
        <v>5.0000000000000001E-4</v>
      </c>
      <c r="G21" s="32" t="s">
        <v>2940</v>
      </c>
      <c r="H21" s="20">
        <v>4.0000000000000002E-4</v>
      </c>
    </row>
    <row r="22" spans="1:9" x14ac:dyDescent="0.25">
      <c r="A22" s="22"/>
      <c r="B22" s="220" t="s">
        <v>328</v>
      </c>
      <c r="C22" s="221"/>
      <c r="D22" s="221"/>
      <c r="E22" s="221"/>
      <c r="F22" s="221"/>
      <c r="G22" s="222"/>
      <c r="H22" s="20"/>
    </row>
    <row r="23" spans="1:9" x14ac:dyDescent="0.25">
      <c r="A23" s="22" t="s">
        <v>1523</v>
      </c>
      <c r="B23" s="69" t="s">
        <v>2975</v>
      </c>
      <c r="C23" s="25" t="s">
        <v>2976</v>
      </c>
      <c r="D23" s="25" t="s">
        <v>2977</v>
      </c>
      <c r="E23" s="25" t="s">
        <v>2978</v>
      </c>
      <c r="F23" s="25" t="s">
        <v>2940</v>
      </c>
      <c r="G23" s="34" t="s">
        <v>2940</v>
      </c>
      <c r="H23" s="20" t="s">
        <v>2940</v>
      </c>
    </row>
    <row r="24" spans="1:9" x14ac:dyDescent="0.25">
      <c r="A24" s="22" t="s">
        <v>331</v>
      </c>
      <c r="B24" s="69" t="s">
        <v>2979</v>
      </c>
      <c r="C24" s="25" t="s">
        <v>2980</v>
      </c>
      <c r="D24" s="25" t="s">
        <v>2981</v>
      </c>
      <c r="E24" s="25" t="s">
        <v>2982</v>
      </c>
      <c r="F24" s="25" t="s">
        <v>2940</v>
      </c>
      <c r="G24" s="34" t="s">
        <v>2940</v>
      </c>
      <c r="H24" s="119" t="s">
        <v>2940</v>
      </c>
      <c r="I24" s="11"/>
    </row>
    <row r="25" spans="1:9" x14ac:dyDescent="0.25">
      <c r="A25" s="22" t="s">
        <v>330</v>
      </c>
      <c r="B25" s="69" t="s">
        <v>2983</v>
      </c>
      <c r="C25" s="25" t="s">
        <v>2984</v>
      </c>
      <c r="D25" s="25" t="s">
        <v>2985</v>
      </c>
      <c r="E25" s="25" t="s">
        <v>2986</v>
      </c>
      <c r="F25" s="25" t="s">
        <v>2940</v>
      </c>
      <c r="G25" s="34" t="s">
        <v>2940</v>
      </c>
      <c r="H25" s="20" t="s">
        <v>2940</v>
      </c>
    </row>
    <row r="26" spans="1:9" x14ac:dyDescent="0.25">
      <c r="A26" s="22" t="s">
        <v>1694</v>
      </c>
      <c r="B26" s="69" t="s">
        <v>2987</v>
      </c>
      <c r="C26" s="25" t="s">
        <v>2988</v>
      </c>
      <c r="D26" s="25" t="s">
        <v>2989</v>
      </c>
      <c r="E26" s="25" t="s">
        <v>2990</v>
      </c>
      <c r="F26" s="25">
        <v>5.4199999999999998E-2</v>
      </c>
      <c r="G26" s="34" t="s">
        <v>2940</v>
      </c>
      <c r="H26" s="20">
        <v>9.1600000000000001E-2</v>
      </c>
    </row>
    <row r="27" spans="1:9" ht="15.75" thickBot="1" x14ac:dyDescent="0.3">
      <c r="A27" s="28" t="s">
        <v>2947</v>
      </c>
      <c r="B27" s="80" t="s">
        <v>2991</v>
      </c>
      <c r="C27" s="29" t="s">
        <v>2992</v>
      </c>
      <c r="D27" s="29" t="s">
        <v>2993</v>
      </c>
      <c r="E27" s="29" t="s">
        <v>2994</v>
      </c>
      <c r="F27" s="159">
        <v>2.4E-2</v>
      </c>
      <c r="G27" s="158">
        <v>1.5900000000000001E-2</v>
      </c>
      <c r="H27" s="20">
        <v>8.0000000000000004E-4</v>
      </c>
    </row>
    <row r="28" spans="1:9" x14ac:dyDescent="0.25">
      <c r="A28" s="22"/>
      <c r="B28" s="220" t="s">
        <v>39</v>
      </c>
      <c r="C28" s="221"/>
      <c r="D28" s="221"/>
      <c r="E28" s="221"/>
      <c r="F28" s="221"/>
      <c r="G28" s="222"/>
      <c r="H28" s="20"/>
    </row>
    <row r="29" spans="1:9" x14ac:dyDescent="0.25">
      <c r="A29" s="22" t="s">
        <v>1523</v>
      </c>
      <c r="B29" s="69" t="s">
        <v>2995</v>
      </c>
      <c r="C29" s="25" t="s">
        <v>2996</v>
      </c>
      <c r="D29" s="25" t="s">
        <v>2997</v>
      </c>
      <c r="E29" s="25" t="s">
        <v>2998</v>
      </c>
      <c r="F29" s="25" t="s">
        <v>2940</v>
      </c>
      <c r="G29" s="34" t="s">
        <v>2940</v>
      </c>
      <c r="H29" s="20" t="s">
        <v>2940</v>
      </c>
    </row>
    <row r="30" spans="1:9" x14ac:dyDescent="0.25">
      <c r="A30" s="22" t="s">
        <v>331</v>
      </c>
      <c r="B30" s="69" t="s">
        <v>2999</v>
      </c>
      <c r="C30" s="25" t="s">
        <v>3000</v>
      </c>
      <c r="D30" s="25" t="s">
        <v>854</v>
      </c>
      <c r="E30" s="25" t="s">
        <v>3001</v>
      </c>
      <c r="F30" s="25" t="s">
        <v>2940</v>
      </c>
      <c r="G30" s="34" t="s">
        <v>2940</v>
      </c>
      <c r="H30" s="20" t="s">
        <v>2940</v>
      </c>
    </row>
    <row r="31" spans="1:9" x14ac:dyDescent="0.25">
      <c r="A31" s="22" t="s">
        <v>330</v>
      </c>
      <c r="B31" s="69" t="s">
        <v>3002</v>
      </c>
      <c r="C31" s="25" t="s">
        <v>3003</v>
      </c>
      <c r="D31" s="25" t="s">
        <v>3004</v>
      </c>
      <c r="E31" s="25" t="s">
        <v>3005</v>
      </c>
      <c r="F31" s="25" t="s">
        <v>2940</v>
      </c>
      <c r="G31" s="34" t="s">
        <v>2940</v>
      </c>
      <c r="H31" s="20" t="s">
        <v>2940</v>
      </c>
    </row>
    <row r="32" spans="1:9" x14ac:dyDescent="0.25">
      <c r="A32" s="22" t="s">
        <v>1694</v>
      </c>
      <c r="B32" s="69" t="s">
        <v>3006</v>
      </c>
      <c r="C32" s="25" t="s">
        <v>3007</v>
      </c>
      <c r="D32" s="25" t="s">
        <v>3008</v>
      </c>
      <c r="E32" s="25" t="s">
        <v>3009</v>
      </c>
      <c r="F32" s="25">
        <v>1.5E-3</v>
      </c>
      <c r="G32" s="160">
        <v>7.0099999999999996E-2</v>
      </c>
      <c r="H32" s="20">
        <v>2.9999999999999997E-4</v>
      </c>
    </row>
    <row r="33" spans="1:8" ht="15.75" thickBot="1" x14ac:dyDescent="0.3">
      <c r="A33" s="28" t="s">
        <v>2947</v>
      </c>
      <c r="B33" s="80" t="s">
        <v>3010</v>
      </c>
      <c r="C33" s="29" t="s">
        <v>3011</v>
      </c>
      <c r="D33" s="29" t="s">
        <v>3012</v>
      </c>
      <c r="E33" s="29" t="s">
        <v>3013</v>
      </c>
      <c r="F33" s="29">
        <v>2.8E-3</v>
      </c>
      <c r="G33" s="32">
        <v>3.85E-2</v>
      </c>
      <c r="H33" s="20">
        <v>4.0000000000000002E-4</v>
      </c>
    </row>
    <row r="35" spans="1:8" x14ac:dyDescent="0.25">
      <c r="A35" s="18"/>
    </row>
  </sheetData>
  <mergeCells count="8">
    <mergeCell ref="B22:G22"/>
    <mergeCell ref="B28:G28"/>
    <mergeCell ref="B2:C2"/>
    <mergeCell ref="D2:E2"/>
    <mergeCell ref="F2:G2"/>
    <mergeCell ref="B4:G4"/>
    <mergeCell ref="B10:G10"/>
    <mergeCell ref="B16:G16"/>
  </mergeCells>
  <pageMargins left="0.25" right="0.25" top="0.75" bottom="0.75" header="0.3" footer="0.3"/>
  <pageSetup scale="98" orientation="landscape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91D35-5E6A-400F-A520-FDC08A994A0D}">
  <sheetPr>
    <pageSetUpPr fitToPage="1"/>
  </sheetPr>
  <dimension ref="A1:K67"/>
  <sheetViews>
    <sheetView zoomScale="96" workbookViewId="0">
      <pane xSplit="1" ySplit="4" topLeftCell="B5" activePane="bottomRight" state="frozen"/>
      <selection pane="topRight" activeCell="B1" sqref="B1"/>
      <selection pane="bottomLeft" activeCell="A4" sqref="A4"/>
      <selection pane="bottomRight" activeCell="A29" sqref="A29:K29"/>
    </sheetView>
  </sheetViews>
  <sheetFormatPr defaultRowHeight="15" x14ac:dyDescent="0.25"/>
  <cols>
    <col min="1" max="1" width="24.5703125" customWidth="1"/>
    <col min="2" max="11" width="16.85546875" style="20" customWidth="1"/>
  </cols>
  <sheetData>
    <row r="1" spans="1:11" ht="15.75" thickBot="1" x14ac:dyDescent="0.3">
      <c r="A1" s="19" t="s">
        <v>1514</v>
      </c>
    </row>
    <row r="2" spans="1:11" x14ac:dyDescent="0.25">
      <c r="A2" s="18"/>
      <c r="B2" s="220" t="s">
        <v>1515</v>
      </c>
      <c r="C2" s="221"/>
      <c r="D2" s="221"/>
      <c r="E2" s="221"/>
      <c r="F2" s="221"/>
      <c r="G2" s="221"/>
      <c r="H2" s="221"/>
      <c r="I2" s="221"/>
      <c r="J2" s="221"/>
      <c r="K2" s="222"/>
    </row>
    <row r="3" spans="1:11" x14ac:dyDescent="0.25">
      <c r="A3" s="18"/>
      <c r="B3" s="223" t="s">
        <v>1516</v>
      </c>
      <c r="C3" s="224"/>
      <c r="D3" s="224" t="s">
        <v>1517</v>
      </c>
      <c r="E3" s="224"/>
      <c r="F3" s="224" t="s">
        <v>1518</v>
      </c>
      <c r="G3" s="224"/>
      <c r="H3" s="224" t="s">
        <v>1519</v>
      </c>
      <c r="I3" s="224"/>
      <c r="J3" s="224" t="s">
        <v>1520</v>
      </c>
      <c r="K3" s="225"/>
    </row>
    <row r="4" spans="1:11" x14ac:dyDescent="0.25">
      <c r="A4" s="22" t="s">
        <v>1521</v>
      </c>
      <c r="B4" s="125" t="s">
        <v>1522</v>
      </c>
      <c r="C4" s="126" t="s">
        <v>222</v>
      </c>
      <c r="D4" s="126" t="s">
        <v>1522</v>
      </c>
      <c r="E4" s="126" t="s">
        <v>222</v>
      </c>
      <c r="F4" s="126" t="s">
        <v>1522</v>
      </c>
      <c r="G4" s="126" t="s">
        <v>222</v>
      </c>
      <c r="H4" s="126" t="s">
        <v>1522</v>
      </c>
      <c r="I4" s="126" t="s">
        <v>222</v>
      </c>
      <c r="J4" s="126" t="s">
        <v>1522</v>
      </c>
      <c r="K4" s="127" t="s">
        <v>222</v>
      </c>
    </row>
    <row r="5" spans="1:11" x14ac:dyDescent="0.25">
      <c r="A5" s="22" t="s">
        <v>1523</v>
      </c>
      <c r="B5" s="69" t="s">
        <v>1524</v>
      </c>
      <c r="C5" s="25" t="s">
        <v>1525</v>
      </c>
      <c r="D5" s="25" t="s">
        <v>1526</v>
      </c>
      <c r="E5" s="25" t="s">
        <v>1527</v>
      </c>
      <c r="F5" s="25" t="s">
        <v>1528</v>
      </c>
      <c r="G5" s="25" t="s">
        <v>1529</v>
      </c>
      <c r="H5" s="25" t="s">
        <v>1530</v>
      </c>
      <c r="I5" s="25" t="s">
        <v>1531</v>
      </c>
      <c r="J5" s="25" t="s">
        <v>1532</v>
      </c>
      <c r="K5" s="34" t="s">
        <v>1533</v>
      </c>
    </row>
    <row r="6" spans="1:11" x14ac:dyDescent="0.25">
      <c r="A6" s="22" t="s">
        <v>1534</v>
      </c>
      <c r="B6" s="69" t="s">
        <v>1535</v>
      </c>
      <c r="C6" s="25" t="s">
        <v>1536</v>
      </c>
      <c r="D6" s="25" t="s">
        <v>1537</v>
      </c>
      <c r="E6" s="25" t="s">
        <v>1538</v>
      </c>
      <c r="F6" s="25" t="s">
        <v>1539</v>
      </c>
      <c r="G6" s="25" t="s">
        <v>1540</v>
      </c>
      <c r="H6" s="25" t="s">
        <v>1541</v>
      </c>
      <c r="I6" s="25" t="s">
        <v>1542</v>
      </c>
      <c r="J6" s="25" t="s">
        <v>1543</v>
      </c>
      <c r="K6" s="34" t="s">
        <v>1544</v>
      </c>
    </row>
    <row r="7" spans="1:11" x14ac:dyDescent="0.25">
      <c r="A7" s="22" t="s">
        <v>1545</v>
      </c>
      <c r="B7" s="69" t="s">
        <v>1546</v>
      </c>
      <c r="C7" s="25" t="s">
        <v>1547</v>
      </c>
      <c r="D7" s="25" t="s">
        <v>1548</v>
      </c>
      <c r="E7" s="25" t="s">
        <v>1549</v>
      </c>
      <c r="F7" s="25" t="s">
        <v>1550</v>
      </c>
      <c r="G7" s="25" t="s">
        <v>1551</v>
      </c>
      <c r="H7" s="25" t="s">
        <v>1552</v>
      </c>
      <c r="I7" s="25" t="s">
        <v>1553</v>
      </c>
      <c r="J7" s="25" t="s">
        <v>1554</v>
      </c>
      <c r="K7" s="34" t="s">
        <v>1555</v>
      </c>
    </row>
    <row r="8" spans="1:11" x14ac:dyDescent="0.25">
      <c r="A8" s="22" t="s">
        <v>1556</v>
      </c>
      <c r="B8" s="69" t="s">
        <v>1557</v>
      </c>
      <c r="C8" s="25" t="s">
        <v>1558</v>
      </c>
      <c r="D8" s="25" t="s">
        <v>1559</v>
      </c>
      <c r="E8" s="25" t="s">
        <v>1560</v>
      </c>
      <c r="F8" s="25" t="s">
        <v>1561</v>
      </c>
      <c r="G8" s="25" t="s">
        <v>1562</v>
      </c>
      <c r="H8" s="25" t="s">
        <v>1563</v>
      </c>
      <c r="I8" s="25" t="s">
        <v>1564</v>
      </c>
      <c r="J8" s="25" t="s">
        <v>1565</v>
      </c>
      <c r="K8" s="34" t="s">
        <v>1566</v>
      </c>
    </row>
    <row r="9" spans="1:11" x14ac:dyDescent="0.25">
      <c r="A9" s="22" t="s">
        <v>331</v>
      </c>
      <c r="B9" s="69" t="s">
        <v>846</v>
      </c>
      <c r="C9" s="25" t="s">
        <v>1567</v>
      </c>
      <c r="D9" s="25" t="s">
        <v>886</v>
      </c>
      <c r="E9" s="25" t="s">
        <v>1568</v>
      </c>
      <c r="F9" s="25" t="s">
        <v>930</v>
      </c>
      <c r="G9" s="25" t="s">
        <v>1569</v>
      </c>
      <c r="H9" s="25" t="s">
        <v>975</v>
      </c>
      <c r="I9" s="25" t="s">
        <v>1570</v>
      </c>
      <c r="J9" s="25" t="s">
        <v>1014</v>
      </c>
      <c r="K9" s="34" t="s">
        <v>1571</v>
      </c>
    </row>
    <row r="10" spans="1:11" x14ac:dyDescent="0.25">
      <c r="A10" s="22" t="s">
        <v>330</v>
      </c>
      <c r="B10" s="69" t="s">
        <v>845</v>
      </c>
      <c r="C10" s="25" t="s">
        <v>1572</v>
      </c>
      <c r="D10" s="25" t="s">
        <v>885</v>
      </c>
      <c r="E10" s="25" t="s">
        <v>1573</v>
      </c>
      <c r="F10" s="25" t="s">
        <v>929</v>
      </c>
      <c r="G10" s="25" t="s">
        <v>1574</v>
      </c>
      <c r="H10" s="25" t="s">
        <v>974</v>
      </c>
      <c r="I10" s="25" t="s">
        <v>1575</v>
      </c>
      <c r="J10" s="25" t="s">
        <v>1013</v>
      </c>
      <c r="K10" s="34" t="s">
        <v>1576</v>
      </c>
    </row>
    <row r="11" spans="1:11" x14ac:dyDescent="0.25">
      <c r="A11" s="22" t="s">
        <v>1031</v>
      </c>
      <c r="B11" s="69" t="s">
        <v>1577</v>
      </c>
      <c r="C11" s="25" t="s">
        <v>1578</v>
      </c>
      <c r="D11" s="25" t="s">
        <v>1579</v>
      </c>
      <c r="E11" s="25" t="s">
        <v>1580</v>
      </c>
      <c r="F11" s="25" t="s">
        <v>1581</v>
      </c>
      <c r="G11" s="25" t="s">
        <v>1582</v>
      </c>
      <c r="H11" s="25" t="s">
        <v>1583</v>
      </c>
      <c r="I11" s="25" t="s">
        <v>1584</v>
      </c>
      <c r="J11" s="25" t="s">
        <v>1585</v>
      </c>
      <c r="K11" s="34" t="s">
        <v>1586</v>
      </c>
    </row>
    <row r="12" spans="1:11" x14ac:dyDescent="0.25">
      <c r="A12" s="22" t="s">
        <v>1042</v>
      </c>
      <c r="B12" s="69" t="s">
        <v>1587</v>
      </c>
      <c r="C12" s="25" t="s">
        <v>1588</v>
      </c>
      <c r="D12" s="25" t="s">
        <v>1589</v>
      </c>
      <c r="E12" s="25" t="s">
        <v>1590</v>
      </c>
      <c r="F12" s="25" t="s">
        <v>1591</v>
      </c>
      <c r="G12" s="25" t="s">
        <v>1592</v>
      </c>
      <c r="H12" s="25" t="s">
        <v>1593</v>
      </c>
      <c r="I12" s="25" t="s">
        <v>1594</v>
      </c>
      <c r="J12" s="25" t="s">
        <v>1595</v>
      </c>
      <c r="K12" s="34" t="s">
        <v>1596</v>
      </c>
    </row>
    <row r="13" spans="1:11" x14ac:dyDescent="0.25">
      <c r="A13" s="22" t="s">
        <v>1053</v>
      </c>
      <c r="B13" s="69" t="s">
        <v>1597</v>
      </c>
      <c r="C13" s="25" t="s">
        <v>1598</v>
      </c>
      <c r="D13" s="25" t="s">
        <v>1599</v>
      </c>
      <c r="E13" s="25" t="s">
        <v>1600</v>
      </c>
      <c r="F13" s="25" t="s">
        <v>1601</v>
      </c>
      <c r="G13" s="25" t="s">
        <v>1602</v>
      </c>
      <c r="H13" s="25" t="s">
        <v>1603</v>
      </c>
      <c r="I13" s="25" t="s">
        <v>1604</v>
      </c>
      <c r="J13" s="25" t="s">
        <v>1605</v>
      </c>
      <c r="K13" s="34" t="s">
        <v>1606</v>
      </c>
    </row>
    <row r="14" spans="1:11" x14ac:dyDescent="0.25">
      <c r="A14" s="22" t="s">
        <v>1064</v>
      </c>
      <c r="B14" s="69" t="s">
        <v>1607</v>
      </c>
      <c r="C14" s="25" t="s">
        <v>1608</v>
      </c>
      <c r="D14" s="25" t="s">
        <v>1609</v>
      </c>
      <c r="E14" s="25" t="s">
        <v>1610</v>
      </c>
      <c r="F14" s="25" t="s">
        <v>1611</v>
      </c>
      <c r="G14" s="25" t="s">
        <v>1612</v>
      </c>
      <c r="H14" s="25" t="s">
        <v>1613</v>
      </c>
      <c r="I14" s="25" t="s">
        <v>1614</v>
      </c>
      <c r="J14" s="25" t="s">
        <v>1615</v>
      </c>
      <c r="K14" s="34" t="s">
        <v>1616</v>
      </c>
    </row>
    <row r="15" spans="1:11" x14ac:dyDescent="0.25">
      <c r="A15" s="22" t="s">
        <v>1617</v>
      </c>
      <c r="B15" s="69" t="s">
        <v>1618</v>
      </c>
      <c r="C15" s="25" t="s">
        <v>1619</v>
      </c>
      <c r="D15" s="25" t="s">
        <v>1620</v>
      </c>
      <c r="E15" s="25" t="s">
        <v>1621</v>
      </c>
      <c r="F15" s="25" t="s">
        <v>1622</v>
      </c>
      <c r="G15" s="25" t="s">
        <v>1623</v>
      </c>
      <c r="H15" s="25" t="s">
        <v>1624</v>
      </c>
      <c r="I15" s="25" t="s">
        <v>1625</v>
      </c>
      <c r="J15" s="25" t="s">
        <v>1626</v>
      </c>
      <c r="K15" s="34" t="s">
        <v>1627</v>
      </c>
    </row>
    <row r="16" spans="1:11" x14ac:dyDescent="0.25">
      <c r="A16" s="22" t="s">
        <v>1628</v>
      </c>
      <c r="B16" s="69" t="s">
        <v>1629</v>
      </c>
      <c r="C16" s="25" t="s">
        <v>1630</v>
      </c>
      <c r="D16" s="25" t="s">
        <v>1631</v>
      </c>
      <c r="E16" s="25" t="s">
        <v>1632</v>
      </c>
      <c r="F16" s="25" t="s">
        <v>1633</v>
      </c>
      <c r="G16" s="25" t="s">
        <v>1634</v>
      </c>
      <c r="H16" s="25" t="s">
        <v>1635</v>
      </c>
      <c r="I16" s="25" t="s">
        <v>1636</v>
      </c>
      <c r="J16" s="25" t="s">
        <v>1637</v>
      </c>
      <c r="K16" s="34" t="s">
        <v>1638</v>
      </c>
    </row>
    <row r="17" spans="1:11" x14ac:dyDescent="0.25">
      <c r="A17" s="22" t="s">
        <v>1639</v>
      </c>
      <c r="B17" s="69" t="s">
        <v>1640</v>
      </c>
      <c r="C17" s="25" t="s">
        <v>1641</v>
      </c>
      <c r="D17" s="25" t="s">
        <v>1642</v>
      </c>
      <c r="E17" s="25" t="s">
        <v>1643</v>
      </c>
      <c r="F17" s="25" t="s">
        <v>1644</v>
      </c>
      <c r="G17" s="25" t="s">
        <v>1645</v>
      </c>
      <c r="H17" s="25" t="s">
        <v>1646</v>
      </c>
      <c r="I17" s="25" t="s">
        <v>1647</v>
      </c>
      <c r="J17" s="25" t="s">
        <v>1648</v>
      </c>
      <c r="K17" s="34" t="s">
        <v>1649</v>
      </c>
    </row>
    <row r="18" spans="1:11" x14ac:dyDescent="0.25">
      <c r="A18" s="22" t="s">
        <v>1650</v>
      </c>
      <c r="B18" s="69" t="s">
        <v>1651</v>
      </c>
      <c r="C18" s="25" t="s">
        <v>1652</v>
      </c>
      <c r="D18" s="25" t="s">
        <v>1653</v>
      </c>
      <c r="E18" s="25" t="s">
        <v>1654</v>
      </c>
      <c r="F18" s="25" t="s">
        <v>1655</v>
      </c>
      <c r="G18" s="25" t="s">
        <v>1656</v>
      </c>
      <c r="H18" s="25" t="s">
        <v>1657</v>
      </c>
      <c r="I18" s="25" t="s">
        <v>1658</v>
      </c>
      <c r="J18" s="25" t="s">
        <v>1659</v>
      </c>
      <c r="K18" s="34" t="s">
        <v>1660</v>
      </c>
    </row>
    <row r="19" spans="1:11" x14ac:dyDescent="0.25">
      <c r="A19" s="22" t="s">
        <v>1661</v>
      </c>
      <c r="B19" s="69" t="s">
        <v>1662</v>
      </c>
      <c r="C19" s="25" t="s">
        <v>1663</v>
      </c>
      <c r="D19" s="25" t="s">
        <v>1664</v>
      </c>
      <c r="E19" s="25" t="s">
        <v>1665</v>
      </c>
      <c r="F19" s="25" t="s">
        <v>1666</v>
      </c>
      <c r="G19" s="25" t="s">
        <v>1667</v>
      </c>
      <c r="H19" s="25" t="s">
        <v>1668</v>
      </c>
      <c r="I19" s="25" t="s">
        <v>1669</v>
      </c>
      <c r="J19" s="25" t="s">
        <v>1670</v>
      </c>
      <c r="K19" s="34" t="s">
        <v>1671</v>
      </c>
    </row>
    <row r="20" spans="1:11" x14ac:dyDescent="0.25">
      <c r="A20" s="22" t="s">
        <v>1672</v>
      </c>
      <c r="B20" s="69" t="s">
        <v>1673</v>
      </c>
      <c r="C20" s="25" t="s">
        <v>1674</v>
      </c>
      <c r="D20" s="25" t="s">
        <v>1675</v>
      </c>
      <c r="E20" s="25" t="s">
        <v>1676</v>
      </c>
      <c r="F20" s="25" t="s">
        <v>1677</v>
      </c>
      <c r="G20" s="25" t="s">
        <v>1678</v>
      </c>
      <c r="H20" s="25" t="s">
        <v>1679</v>
      </c>
      <c r="I20" s="25" t="s">
        <v>1680</v>
      </c>
      <c r="J20" s="25" t="s">
        <v>1681</v>
      </c>
      <c r="K20" s="34" t="s">
        <v>1682</v>
      </c>
    </row>
    <row r="21" spans="1:11" x14ac:dyDescent="0.25">
      <c r="A21" s="22" t="s">
        <v>1683</v>
      </c>
      <c r="B21" s="69" t="s">
        <v>1684</v>
      </c>
      <c r="C21" s="25" t="s">
        <v>1685</v>
      </c>
      <c r="D21" s="25" t="s">
        <v>1686</v>
      </c>
      <c r="E21" s="25" t="s">
        <v>1687</v>
      </c>
      <c r="F21" s="25" t="s">
        <v>1688</v>
      </c>
      <c r="G21" s="25" t="s">
        <v>1689</v>
      </c>
      <c r="H21" s="25" t="s">
        <v>1690</v>
      </c>
      <c r="I21" s="25" t="s">
        <v>1691</v>
      </c>
      <c r="J21" s="25" t="s">
        <v>1692</v>
      </c>
      <c r="K21" s="34" t="s">
        <v>1693</v>
      </c>
    </row>
    <row r="22" spans="1:11" x14ac:dyDescent="0.25">
      <c r="A22" s="22" t="s">
        <v>1694</v>
      </c>
      <c r="B22" s="69" t="s">
        <v>1695</v>
      </c>
      <c r="C22" s="25" t="s">
        <v>1696</v>
      </c>
      <c r="D22" s="25" t="s">
        <v>1697</v>
      </c>
      <c r="E22" s="25" t="s">
        <v>1698</v>
      </c>
      <c r="F22" s="25" t="s">
        <v>1699</v>
      </c>
      <c r="G22" s="25" t="s">
        <v>1700</v>
      </c>
      <c r="H22" s="25" t="s">
        <v>1701</v>
      </c>
      <c r="I22" s="25" t="s">
        <v>1702</v>
      </c>
      <c r="J22" s="25" t="s">
        <v>1703</v>
      </c>
      <c r="K22" s="34" t="s">
        <v>1704</v>
      </c>
    </row>
    <row r="23" spans="1:11" x14ac:dyDescent="0.25">
      <c r="A23" s="22" t="s">
        <v>1705</v>
      </c>
      <c r="B23" s="69" t="s">
        <v>1706</v>
      </c>
      <c r="C23" s="25" t="s">
        <v>1707</v>
      </c>
      <c r="D23" s="25" t="s">
        <v>1708</v>
      </c>
      <c r="E23" s="25" t="s">
        <v>1709</v>
      </c>
      <c r="F23" s="25" t="s">
        <v>1710</v>
      </c>
      <c r="G23" s="25" t="s">
        <v>1711</v>
      </c>
      <c r="H23" s="25" t="s">
        <v>1712</v>
      </c>
      <c r="I23" s="25" t="s">
        <v>1713</v>
      </c>
      <c r="J23" s="25" t="s">
        <v>1714</v>
      </c>
      <c r="K23" s="34" t="s">
        <v>1715</v>
      </c>
    </row>
    <row r="24" spans="1:11" x14ac:dyDescent="0.25">
      <c r="A24" s="22" t="s">
        <v>1716</v>
      </c>
      <c r="B24" s="69" t="s">
        <v>1717</v>
      </c>
      <c r="C24" s="25" t="s">
        <v>1718</v>
      </c>
      <c r="D24" s="25" t="s">
        <v>1719</v>
      </c>
      <c r="E24" s="25" t="s">
        <v>1720</v>
      </c>
      <c r="F24" s="25" t="s">
        <v>1721</v>
      </c>
      <c r="G24" s="25" t="s">
        <v>1722</v>
      </c>
      <c r="H24" s="25" t="s">
        <v>1723</v>
      </c>
      <c r="I24" s="25" t="s">
        <v>1724</v>
      </c>
      <c r="J24" s="25" t="s">
        <v>1725</v>
      </c>
      <c r="K24" s="34" t="s">
        <v>1726</v>
      </c>
    </row>
    <row r="25" spans="1:11" x14ac:dyDescent="0.25">
      <c r="A25" s="26" t="s">
        <v>1727</v>
      </c>
      <c r="B25" s="78" t="s">
        <v>1728</v>
      </c>
      <c r="C25" s="68" t="s">
        <v>1729</v>
      </c>
      <c r="D25" s="68" t="s">
        <v>1730</v>
      </c>
      <c r="E25" s="68" t="s">
        <v>1731</v>
      </c>
      <c r="F25" s="68" t="s">
        <v>1732</v>
      </c>
      <c r="G25" s="68" t="s">
        <v>1733</v>
      </c>
      <c r="H25" s="68" t="s">
        <v>1734</v>
      </c>
      <c r="I25" s="68" t="s">
        <v>1735</v>
      </c>
      <c r="J25" s="68" t="s">
        <v>1736</v>
      </c>
      <c r="K25" s="77" t="s">
        <v>1737</v>
      </c>
    </row>
    <row r="26" spans="1:11" x14ac:dyDescent="0.25">
      <c r="A26" s="26" t="s">
        <v>1738</v>
      </c>
      <c r="B26" s="78" t="s">
        <v>1739</v>
      </c>
      <c r="C26" s="68" t="s">
        <v>1740</v>
      </c>
      <c r="D26" s="68" t="s">
        <v>1741</v>
      </c>
      <c r="E26" s="68" t="s">
        <v>1742</v>
      </c>
      <c r="F26" s="68" t="s">
        <v>1743</v>
      </c>
      <c r="G26" s="68" t="s">
        <v>1744</v>
      </c>
      <c r="H26" s="68" t="s">
        <v>1745</v>
      </c>
      <c r="I26" s="68" t="s">
        <v>1746</v>
      </c>
      <c r="J26" s="68" t="s">
        <v>1747</v>
      </c>
      <c r="K26" s="77" t="s">
        <v>1748</v>
      </c>
    </row>
    <row r="27" spans="1:11" x14ac:dyDescent="0.25">
      <c r="A27" s="26" t="s">
        <v>1749</v>
      </c>
      <c r="B27" s="78" t="s">
        <v>1750</v>
      </c>
      <c r="C27" s="68" t="s">
        <v>1751</v>
      </c>
      <c r="D27" s="68" t="s">
        <v>1752</v>
      </c>
      <c r="E27" s="68" t="s">
        <v>1753</v>
      </c>
      <c r="F27" s="68" t="s">
        <v>1754</v>
      </c>
      <c r="G27" s="68" t="s">
        <v>1755</v>
      </c>
      <c r="H27" s="68" t="s">
        <v>1756</v>
      </c>
      <c r="I27" s="68" t="s">
        <v>1757</v>
      </c>
      <c r="J27" s="68" t="s">
        <v>1758</v>
      </c>
      <c r="K27" s="77" t="s">
        <v>1759</v>
      </c>
    </row>
    <row r="28" spans="1:11" ht="15.75" thickBot="1" x14ac:dyDescent="0.3">
      <c r="A28" s="28" t="s">
        <v>1760</v>
      </c>
      <c r="B28" s="80" t="s">
        <v>1761</v>
      </c>
      <c r="C28" s="29" t="s">
        <v>1762</v>
      </c>
      <c r="D28" s="29" t="s">
        <v>1763</v>
      </c>
      <c r="E28" s="29" t="s">
        <v>1686</v>
      </c>
      <c r="F28" s="29" t="s">
        <v>1764</v>
      </c>
      <c r="G28" s="29" t="s">
        <v>1765</v>
      </c>
      <c r="H28" s="29" t="s">
        <v>1766</v>
      </c>
      <c r="I28" s="29" t="s">
        <v>1767</v>
      </c>
      <c r="J28" s="29" t="s">
        <v>1768</v>
      </c>
      <c r="K28" s="32" t="s">
        <v>1769</v>
      </c>
    </row>
    <row r="29" spans="1:11" ht="27.95" customHeight="1" x14ac:dyDescent="0.25">
      <c r="A29" s="228" t="s">
        <v>2860</v>
      </c>
      <c r="B29" s="228"/>
      <c r="C29" s="228"/>
      <c r="D29" s="228"/>
      <c r="E29" s="228"/>
      <c r="F29" s="228"/>
      <c r="G29" s="228"/>
      <c r="H29" s="228"/>
      <c r="I29" s="228"/>
      <c r="J29" s="228"/>
      <c r="K29" s="228"/>
    </row>
    <row r="30" spans="1:11" x14ac:dyDescent="0.25">
      <c r="B30" s="44"/>
      <c r="C30" s="44"/>
      <c r="D30" s="44"/>
      <c r="E30" s="44"/>
      <c r="F30" s="44"/>
      <c r="G30" s="44"/>
      <c r="H30" s="44"/>
      <c r="I30" s="44"/>
      <c r="J30" s="44"/>
      <c r="K30" s="44"/>
    </row>
    <row r="31" spans="1:11" ht="15.75" thickBot="1" x14ac:dyDescent="0.3">
      <c r="A31" s="112" t="s">
        <v>1770</v>
      </c>
    </row>
    <row r="32" spans="1:11" x14ac:dyDescent="0.25">
      <c r="A32" s="85" t="s">
        <v>1771</v>
      </c>
      <c r="B32" s="226" t="s">
        <v>1772</v>
      </c>
      <c r="C32" s="227"/>
      <c r="D32" s="226" t="s">
        <v>1773</v>
      </c>
      <c r="E32" s="227"/>
      <c r="F32" s="226" t="s">
        <v>1774</v>
      </c>
      <c r="G32" s="227"/>
      <c r="H32"/>
      <c r="I32"/>
      <c r="J32"/>
      <c r="K32"/>
    </row>
    <row r="33" spans="1:11" x14ac:dyDescent="0.25">
      <c r="A33" s="64" t="s">
        <v>1521</v>
      </c>
      <c r="B33" s="128" t="s">
        <v>1522</v>
      </c>
      <c r="C33" s="130" t="s">
        <v>222</v>
      </c>
      <c r="D33" s="128" t="s">
        <v>1522</v>
      </c>
      <c r="E33" s="130" t="s">
        <v>222</v>
      </c>
      <c r="F33" s="128" t="s">
        <v>1522</v>
      </c>
      <c r="G33" s="130" t="s">
        <v>222</v>
      </c>
      <c r="H33"/>
      <c r="I33"/>
      <c r="J33"/>
      <c r="K33"/>
    </row>
    <row r="34" spans="1:11" x14ac:dyDescent="0.25">
      <c r="A34" s="64" t="s">
        <v>1775</v>
      </c>
      <c r="B34" s="128">
        <v>25</v>
      </c>
      <c r="C34" s="130">
        <v>21</v>
      </c>
      <c r="D34" s="128">
        <v>20</v>
      </c>
      <c r="E34" s="130">
        <v>19</v>
      </c>
      <c r="F34" s="128">
        <v>18</v>
      </c>
      <c r="G34" s="130">
        <v>18</v>
      </c>
      <c r="H34"/>
      <c r="I34"/>
      <c r="J34"/>
      <c r="K34"/>
    </row>
    <row r="35" spans="1:11" x14ac:dyDescent="0.25">
      <c r="A35" s="64" t="s">
        <v>1523</v>
      </c>
      <c r="B35" s="81">
        <v>3281919</v>
      </c>
      <c r="C35" s="82">
        <v>3330085</v>
      </c>
      <c r="D35" s="81">
        <v>3259261</v>
      </c>
      <c r="E35" s="82">
        <v>3327084</v>
      </c>
      <c r="F35" s="81">
        <v>912725</v>
      </c>
      <c r="G35" s="82">
        <v>1074857</v>
      </c>
      <c r="H35"/>
      <c r="I35"/>
      <c r="J35"/>
      <c r="K35"/>
    </row>
    <row r="36" spans="1:11" x14ac:dyDescent="0.25">
      <c r="A36" s="64" t="s">
        <v>1534</v>
      </c>
      <c r="B36" s="81">
        <v>1826759</v>
      </c>
      <c r="C36" s="82">
        <v>1867610</v>
      </c>
      <c r="D36" s="81">
        <v>1820861</v>
      </c>
      <c r="E36" s="82">
        <v>1866925</v>
      </c>
      <c r="F36" s="81">
        <v>522146</v>
      </c>
      <c r="G36" s="82">
        <v>603771</v>
      </c>
      <c r="H36"/>
      <c r="I36"/>
      <c r="J36"/>
      <c r="K36"/>
    </row>
    <row r="37" spans="1:11" x14ac:dyDescent="0.25">
      <c r="A37" s="64" t="s">
        <v>1545</v>
      </c>
      <c r="B37" s="81">
        <v>841254</v>
      </c>
      <c r="C37" s="82">
        <v>822999</v>
      </c>
      <c r="D37" s="81">
        <v>833723</v>
      </c>
      <c r="E37" s="82">
        <v>821922</v>
      </c>
      <c r="F37" s="81">
        <v>219996</v>
      </c>
      <c r="G37" s="82">
        <v>243810</v>
      </c>
      <c r="H37"/>
      <c r="I37"/>
      <c r="J37"/>
      <c r="K37"/>
    </row>
    <row r="38" spans="1:11" x14ac:dyDescent="0.25">
      <c r="A38" s="64" t="s">
        <v>1556</v>
      </c>
      <c r="B38" s="81">
        <v>613906</v>
      </c>
      <c r="C38" s="82">
        <v>639476</v>
      </c>
      <c r="D38" s="81">
        <v>604663</v>
      </c>
      <c r="E38" s="82">
        <v>638237</v>
      </c>
      <c r="F38" s="81">
        <v>170583</v>
      </c>
      <c r="G38" s="82">
        <v>227276</v>
      </c>
      <c r="H38"/>
      <c r="I38"/>
      <c r="J38"/>
      <c r="K38"/>
    </row>
    <row r="39" spans="1:11" x14ac:dyDescent="0.25">
      <c r="A39" s="64" t="s">
        <v>331</v>
      </c>
      <c r="B39" s="81">
        <v>1442091</v>
      </c>
      <c r="C39" s="82">
        <v>1435203</v>
      </c>
      <c r="D39" s="81">
        <v>1431932</v>
      </c>
      <c r="E39" s="82">
        <v>1433735</v>
      </c>
      <c r="F39" s="81">
        <v>408232</v>
      </c>
      <c r="G39" s="82">
        <v>468195</v>
      </c>
      <c r="H39"/>
      <c r="I39"/>
      <c r="J39"/>
      <c r="K39"/>
    </row>
    <row r="40" spans="1:11" x14ac:dyDescent="0.25">
      <c r="A40" s="64" t="s">
        <v>330</v>
      </c>
      <c r="B40" s="81">
        <v>1839828</v>
      </c>
      <c r="C40" s="82">
        <v>1894882</v>
      </c>
      <c r="D40" s="81">
        <v>1827329</v>
      </c>
      <c r="E40" s="82">
        <v>1893349</v>
      </c>
      <c r="F40" s="81">
        <v>504493</v>
      </c>
      <c r="G40" s="82">
        <v>606662</v>
      </c>
      <c r="H40"/>
      <c r="I40"/>
      <c r="J40"/>
      <c r="K40"/>
    </row>
    <row r="41" spans="1:11" x14ac:dyDescent="0.25">
      <c r="A41" s="64" t="s">
        <v>1031</v>
      </c>
      <c r="B41" s="81">
        <v>2575281</v>
      </c>
      <c r="C41" s="82">
        <v>2632236</v>
      </c>
      <c r="D41" s="81">
        <v>2559663</v>
      </c>
      <c r="E41" s="82">
        <v>2630449</v>
      </c>
      <c r="F41" s="81">
        <v>717913</v>
      </c>
      <c r="G41" s="82">
        <v>864673</v>
      </c>
      <c r="H41"/>
      <c r="I41"/>
      <c r="J41"/>
      <c r="K41"/>
    </row>
    <row r="42" spans="1:11" x14ac:dyDescent="0.25">
      <c r="A42" s="64" t="s">
        <v>1042</v>
      </c>
      <c r="B42" s="81">
        <v>293827</v>
      </c>
      <c r="C42" s="82">
        <v>311209</v>
      </c>
      <c r="D42" s="81">
        <v>288861</v>
      </c>
      <c r="E42" s="82">
        <v>310508</v>
      </c>
      <c r="F42" s="81">
        <v>80061</v>
      </c>
      <c r="G42" s="82">
        <v>97961</v>
      </c>
      <c r="H42"/>
      <c r="I42"/>
      <c r="J42"/>
      <c r="K42"/>
    </row>
    <row r="43" spans="1:11" x14ac:dyDescent="0.25">
      <c r="A43" s="64" t="s">
        <v>1053</v>
      </c>
      <c r="B43" s="81">
        <v>186894</v>
      </c>
      <c r="C43" s="82">
        <v>131247</v>
      </c>
      <c r="D43" s="81">
        <v>185570</v>
      </c>
      <c r="E43" s="82">
        <v>130981</v>
      </c>
      <c r="F43" s="81">
        <v>51810</v>
      </c>
      <c r="G43" s="82">
        <v>33512</v>
      </c>
      <c r="H43"/>
      <c r="I43"/>
      <c r="J43"/>
      <c r="K43"/>
    </row>
    <row r="44" spans="1:11" x14ac:dyDescent="0.25">
      <c r="A44" s="64" t="s">
        <v>1064</v>
      </c>
      <c r="B44" s="81">
        <v>83602</v>
      </c>
      <c r="C44" s="82">
        <v>80139</v>
      </c>
      <c r="D44" s="81">
        <v>82889</v>
      </c>
      <c r="E44" s="82">
        <v>80139</v>
      </c>
      <c r="F44" s="81">
        <v>26898</v>
      </c>
      <c r="G44" s="82">
        <v>25395</v>
      </c>
      <c r="H44"/>
      <c r="I44"/>
      <c r="J44"/>
      <c r="K44"/>
    </row>
    <row r="45" spans="1:11" x14ac:dyDescent="0.25">
      <c r="A45" s="64" t="s">
        <v>1617</v>
      </c>
      <c r="B45" s="81">
        <v>136068</v>
      </c>
      <c r="C45" s="82">
        <v>170900</v>
      </c>
      <c r="D45" s="81">
        <v>136068</v>
      </c>
      <c r="E45" s="82">
        <v>170811</v>
      </c>
      <c r="F45" s="81">
        <v>34029</v>
      </c>
      <c r="G45" s="82">
        <v>51816</v>
      </c>
      <c r="H45"/>
      <c r="I45"/>
      <c r="J45"/>
      <c r="K45"/>
    </row>
    <row r="46" spans="1:11" x14ac:dyDescent="0.25">
      <c r="A46" s="64" t="s">
        <v>1628</v>
      </c>
      <c r="B46" s="81">
        <v>2917005</v>
      </c>
      <c r="C46" s="82">
        <v>2929773</v>
      </c>
      <c r="D46" s="81">
        <v>2896777</v>
      </c>
      <c r="E46" s="82">
        <v>2927485</v>
      </c>
      <c r="F46" s="81">
        <v>814808</v>
      </c>
      <c r="G46" s="82">
        <v>947845</v>
      </c>
      <c r="H46"/>
      <c r="I46"/>
      <c r="J46"/>
      <c r="K46"/>
    </row>
    <row r="47" spans="1:11" x14ac:dyDescent="0.25">
      <c r="A47" s="64" t="s">
        <v>1639</v>
      </c>
      <c r="B47" s="81">
        <v>364914</v>
      </c>
      <c r="C47" s="82">
        <v>400312</v>
      </c>
      <c r="D47" s="81">
        <v>362484</v>
      </c>
      <c r="E47" s="82">
        <v>399599</v>
      </c>
      <c r="F47" s="81">
        <v>97917</v>
      </c>
      <c r="G47" s="82">
        <v>127012</v>
      </c>
      <c r="H47"/>
      <c r="I47"/>
      <c r="J47"/>
      <c r="K47"/>
    </row>
    <row r="48" spans="1:11" x14ac:dyDescent="0.25">
      <c r="A48" s="64" t="s">
        <v>1650</v>
      </c>
      <c r="B48" s="81">
        <v>1939652</v>
      </c>
      <c r="C48" s="82">
        <v>2030465</v>
      </c>
      <c r="D48" s="81">
        <v>1923458</v>
      </c>
      <c r="E48" s="82">
        <v>2028535</v>
      </c>
      <c r="F48" s="81">
        <v>539455</v>
      </c>
      <c r="G48" s="82">
        <v>657843</v>
      </c>
      <c r="H48"/>
      <c r="I48"/>
      <c r="J48"/>
      <c r="K48"/>
    </row>
    <row r="49" spans="1:11" x14ac:dyDescent="0.25">
      <c r="A49" s="64" t="s">
        <v>1661</v>
      </c>
      <c r="B49" s="81">
        <v>1342267</v>
      </c>
      <c r="C49" s="82">
        <v>1299620</v>
      </c>
      <c r="D49" s="81">
        <v>1335803</v>
      </c>
      <c r="E49" s="82">
        <v>1298549</v>
      </c>
      <c r="F49" s="81">
        <v>373270</v>
      </c>
      <c r="G49" s="82">
        <v>417014</v>
      </c>
      <c r="H49"/>
      <c r="I49"/>
      <c r="J49"/>
      <c r="K49"/>
    </row>
    <row r="50" spans="1:11" x14ac:dyDescent="0.25">
      <c r="A50" s="64" t="s">
        <v>1672</v>
      </c>
      <c r="B50" s="81">
        <v>316616</v>
      </c>
      <c r="C50" s="82">
        <v>293666</v>
      </c>
      <c r="D50" s="81">
        <v>315975</v>
      </c>
      <c r="E50" s="82">
        <v>293449</v>
      </c>
      <c r="F50" s="81">
        <v>88051</v>
      </c>
      <c r="G50" s="82">
        <v>94033</v>
      </c>
      <c r="H50"/>
      <c r="I50"/>
      <c r="J50"/>
      <c r="K50"/>
    </row>
    <row r="51" spans="1:11" x14ac:dyDescent="0.25">
      <c r="A51" s="64" t="s">
        <v>1683</v>
      </c>
      <c r="B51" s="81">
        <v>3110306</v>
      </c>
      <c r="C51" s="82">
        <v>3160476</v>
      </c>
      <c r="D51" s="81">
        <v>3088873</v>
      </c>
      <c r="E51" s="82">
        <v>3159233</v>
      </c>
      <c r="F51" s="81">
        <v>866870</v>
      </c>
      <c r="G51" s="82">
        <v>1019502</v>
      </c>
      <c r="H51"/>
      <c r="I51"/>
      <c r="J51"/>
      <c r="K51"/>
    </row>
    <row r="52" spans="1:11" x14ac:dyDescent="0.25">
      <c r="A52" s="64" t="s">
        <v>1694</v>
      </c>
      <c r="B52" s="81">
        <v>171613</v>
      </c>
      <c r="C52" s="82">
        <v>169609</v>
      </c>
      <c r="D52" s="81">
        <v>170388</v>
      </c>
      <c r="E52" s="82">
        <v>167851</v>
      </c>
      <c r="F52" s="81">
        <v>45855</v>
      </c>
      <c r="G52" s="82">
        <v>55355</v>
      </c>
      <c r="H52"/>
      <c r="I52"/>
      <c r="J52"/>
      <c r="K52"/>
    </row>
    <row r="53" spans="1:11" x14ac:dyDescent="0.25">
      <c r="A53" s="64" t="s">
        <v>1705</v>
      </c>
      <c r="B53" s="81">
        <v>3108214</v>
      </c>
      <c r="C53" s="82">
        <v>3178529</v>
      </c>
      <c r="D53" s="81">
        <v>3086891</v>
      </c>
      <c r="E53" s="82">
        <v>3176505</v>
      </c>
      <c r="F53" s="81">
        <v>867886</v>
      </c>
      <c r="G53" s="82">
        <v>1028126</v>
      </c>
      <c r="H53"/>
      <c r="I53"/>
      <c r="J53"/>
      <c r="K53"/>
    </row>
    <row r="54" spans="1:11" x14ac:dyDescent="0.25">
      <c r="A54" s="64" t="s">
        <v>1716</v>
      </c>
      <c r="B54" s="81">
        <v>145590</v>
      </c>
      <c r="C54" s="82">
        <v>127654</v>
      </c>
      <c r="D54" s="81">
        <v>144429</v>
      </c>
      <c r="E54" s="82">
        <v>127182</v>
      </c>
      <c r="F54" s="81">
        <v>37719</v>
      </c>
      <c r="G54" s="82">
        <v>39599</v>
      </c>
      <c r="H54"/>
      <c r="I54"/>
      <c r="J54"/>
      <c r="K54"/>
    </row>
    <row r="55" spans="1:11" x14ac:dyDescent="0.25">
      <c r="A55" s="83" t="s">
        <v>1727</v>
      </c>
      <c r="B55" s="86">
        <v>28115</v>
      </c>
      <c r="C55" s="87">
        <v>23902</v>
      </c>
      <c r="D55" s="86">
        <v>27941</v>
      </c>
      <c r="E55" s="87">
        <v>23397</v>
      </c>
      <c r="F55" s="86">
        <v>7120</v>
      </c>
      <c r="G55" s="87">
        <v>7102</v>
      </c>
      <c r="H55"/>
      <c r="I55"/>
      <c r="J55"/>
      <c r="K55"/>
    </row>
    <row r="56" spans="1:11" x14ac:dyDescent="0.25">
      <c r="A56" s="83" t="s">
        <v>1738</v>
      </c>
      <c r="B56" s="86"/>
      <c r="C56" s="87"/>
      <c r="D56" s="86"/>
      <c r="E56" s="87"/>
      <c r="F56" s="86">
        <v>450446.0000404364</v>
      </c>
      <c r="G56" s="87">
        <v>474238</v>
      </c>
      <c r="H56"/>
      <c r="I56"/>
      <c r="J56"/>
      <c r="K56"/>
    </row>
    <row r="57" spans="1:11" x14ac:dyDescent="0.25">
      <c r="A57" s="83" t="s">
        <v>1749</v>
      </c>
      <c r="B57" s="86"/>
      <c r="C57" s="87"/>
      <c r="D57" s="86"/>
      <c r="E57" s="87"/>
      <c r="F57" s="86">
        <v>247065</v>
      </c>
      <c r="G57" s="87">
        <v>323454</v>
      </c>
      <c r="H57"/>
      <c r="I57"/>
      <c r="J57"/>
      <c r="K57"/>
    </row>
    <row r="58" spans="1:11" ht="15.75" thickBot="1" x14ac:dyDescent="0.3">
      <c r="A58" s="84" t="s">
        <v>1760</v>
      </c>
      <c r="B58" s="88"/>
      <c r="C58" s="89"/>
      <c r="D58" s="88"/>
      <c r="E58" s="89"/>
      <c r="F58" s="88">
        <v>215214.00000052701</v>
      </c>
      <c r="G58" s="89">
        <v>277165</v>
      </c>
      <c r="H58"/>
      <c r="I58"/>
      <c r="J58"/>
      <c r="K58"/>
    </row>
    <row r="59" spans="1:11" x14ac:dyDescent="0.25">
      <c r="A59" s="18"/>
    </row>
    <row r="60" spans="1:11" x14ac:dyDescent="0.25">
      <c r="A60" s="18"/>
      <c r="B60" s="70"/>
      <c r="C60" s="70"/>
      <c r="D60" s="70"/>
      <c r="E60" s="70"/>
      <c r="F60" s="70"/>
      <c r="G60" s="70"/>
    </row>
    <row r="61" spans="1:11" x14ac:dyDescent="0.25">
      <c r="B61" s="70"/>
      <c r="C61" s="70"/>
      <c r="D61" s="70"/>
      <c r="E61" s="70"/>
      <c r="F61" s="70"/>
      <c r="G61" s="70"/>
    </row>
    <row r="62" spans="1:11" x14ac:dyDescent="0.25">
      <c r="B62" s="70"/>
      <c r="C62" s="70"/>
      <c r="D62" s="70"/>
      <c r="E62" s="70"/>
      <c r="F62" s="70"/>
      <c r="G62" s="70"/>
    </row>
    <row r="63" spans="1:11" x14ac:dyDescent="0.25">
      <c r="B63" s="70"/>
      <c r="C63" s="70"/>
      <c r="D63" s="70"/>
      <c r="E63" s="70"/>
      <c r="F63" s="70"/>
      <c r="G63" s="70"/>
    </row>
    <row r="64" spans="1:11" x14ac:dyDescent="0.25">
      <c r="B64" s="70"/>
      <c r="C64" s="70"/>
      <c r="D64" s="70"/>
      <c r="E64" s="70"/>
      <c r="F64" s="70"/>
      <c r="G64" s="70"/>
    </row>
    <row r="65" spans="2:7" x14ac:dyDescent="0.25">
      <c r="B65" s="70"/>
      <c r="C65" s="70"/>
      <c r="D65" s="70"/>
      <c r="E65" s="70"/>
      <c r="F65" s="70"/>
      <c r="G65" s="70"/>
    </row>
    <row r="66" spans="2:7" x14ac:dyDescent="0.25">
      <c r="B66" s="70"/>
      <c r="C66" s="70"/>
      <c r="D66" s="70"/>
      <c r="E66" s="70"/>
      <c r="F66" s="70"/>
      <c r="G66" s="70"/>
    </row>
    <row r="67" spans="2:7" x14ac:dyDescent="0.25">
      <c r="B67" s="70"/>
      <c r="C67" s="70"/>
      <c r="D67" s="70"/>
      <c r="E67" s="70"/>
    </row>
  </sheetData>
  <mergeCells count="10">
    <mergeCell ref="B32:C32"/>
    <mergeCell ref="D32:E32"/>
    <mergeCell ref="F32:G32"/>
    <mergeCell ref="B2:K2"/>
    <mergeCell ref="B3:C3"/>
    <mergeCell ref="D3:E3"/>
    <mergeCell ref="F3:G3"/>
    <mergeCell ref="H3:I3"/>
    <mergeCell ref="J3:K3"/>
    <mergeCell ref="A29:K29"/>
  </mergeCells>
  <pageMargins left="0.25" right="0.25" top="0.75" bottom="0.75" header="0.3" footer="0.3"/>
  <pageSetup scale="59" orientation="landscape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6F79D-7249-41C0-9C09-DBE756BA239D}">
  <sheetPr>
    <pageSetUpPr fitToPage="1"/>
  </sheetPr>
  <dimension ref="A1:K58"/>
  <sheetViews>
    <sheetView zoomScale="96" workbookViewId="0">
      <pane xSplit="1" ySplit="4" topLeftCell="D5" activePane="bottomRight" state="frozen"/>
      <selection pane="topRight" activeCell="B1" sqref="B1"/>
      <selection pane="bottomLeft" activeCell="A4" sqref="A4"/>
      <selection pane="bottomRight" activeCell="M24" sqref="M24"/>
    </sheetView>
  </sheetViews>
  <sheetFormatPr defaultRowHeight="15" x14ac:dyDescent="0.25"/>
  <cols>
    <col min="1" max="1" width="24.5703125" customWidth="1"/>
    <col min="2" max="11" width="16.85546875" style="20" customWidth="1"/>
  </cols>
  <sheetData>
    <row r="1" spans="1:11" ht="15.75" thickBot="1" x14ac:dyDescent="0.3">
      <c r="A1" s="19" t="s">
        <v>1776</v>
      </c>
    </row>
    <row r="2" spans="1:11" x14ac:dyDescent="0.25">
      <c r="A2" s="65"/>
      <c r="B2" s="229" t="s">
        <v>1777</v>
      </c>
      <c r="C2" s="230"/>
      <c r="D2" s="230"/>
      <c r="E2" s="230"/>
      <c r="F2" s="230"/>
      <c r="G2" s="230"/>
      <c r="H2" s="230"/>
      <c r="I2" s="230"/>
      <c r="J2" s="230"/>
      <c r="K2" s="231"/>
    </row>
    <row r="3" spans="1:11" x14ac:dyDescent="0.25">
      <c r="A3" s="65"/>
      <c r="B3" s="232" t="s">
        <v>1516</v>
      </c>
      <c r="C3" s="233"/>
      <c r="D3" s="233" t="s">
        <v>1517</v>
      </c>
      <c r="E3" s="233"/>
      <c r="F3" s="233" t="s">
        <v>1518</v>
      </c>
      <c r="G3" s="233"/>
      <c r="H3" s="233" t="s">
        <v>1519</v>
      </c>
      <c r="I3" s="233"/>
      <c r="J3" s="233" t="s">
        <v>1520</v>
      </c>
      <c r="K3" s="234"/>
    </row>
    <row r="4" spans="1:11" x14ac:dyDescent="0.25">
      <c r="A4" s="64" t="s">
        <v>1521</v>
      </c>
      <c r="B4" s="128" t="s">
        <v>1522</v>
      </c>
      <c r="C4" s="129" t="s">
        <v>222</v>
      </c>
      <c r="D4" s="129" t="s">
        <v>1522</v>
      </c>
      <c r="E4" s="129" t="s">
        <v>222</v>
      </c>
      <c r="F4" s="129" t="s">
        <v>1522</v>
      </c>
      <c r="G4" s="129" t="s">
        <v>222</v>
      </c>
      <c r="H4" s="129" t="s">
        <v>1522</v>
      </c>
      <c r="I4" s="129" t="s">
        <v>222</v>
      </c>
      <c r="J4" s="129" t="s">
        <v>1522</v>
      </c>
      <c r="K4" s="130" t="s">
        <v>222</v>
      </c>
    </row>
    <row r="5" spans="1:11" x14ac:dyDescent="0.25">
      <c r="A5" s="64" t="s">
        <v>1523</v>
      </c>
      <c r="B5" s="69" t="s">
        <v>1778</v>
      </c>
      <c r="C5" s="25" t="s">
        <v>1779</v>
      </c>
      <c r="D5" s="25" t="s">
        <v>1780</v>
      </c>
      <c r="E5" s="25" t="s">
        <v>1781</v>
      </c>
      <c r="F5" s="25" t="s">
        <v>1782</v>
      </c>
      <c r="G5" s="25" t="s">
        <v>1783</v>
      </c>
      <c r="H5" s="25" t="s">
        <v>1784</v>
      </c>
      <c r="I5" s="25" t="s">
        <v>1785</v>
      </c>
      <c r="J5" s="25" t="s">
        <v>1786</v>
      </c>
      <c r="K5" s="25" t="s">
        <v>1787</v>
      </c>
    </row>
    <row r="6" spans="1:11" x14ac:dyDescent="0.25">
      <c r="A6" s="64" t="s">
        <v>1534</v>
      </c>
      <c r="B6" s="69" t="s">
        <v>1788</v>
      </c>
      <c r="C6" s="25" t="s">
        <v>1789</v>
      </c>
      <c r="D6" s="25" t="s">
        <v>1790</v>
      </c>
      <c r="E6" s="25" t="s">
        <v>1791</v>
      </c>
      <c r="F6" s="25" t="s">
        <v>1792</v>
      </c>
      <c r="G6" s="25" t="s">
        <v>1793</v>
      </c>
      <c r="H6" s="25" t="s">
        <v>1794</v>
      </c>
      <c r="I6" s="25" t="s">
        <v>1795</v>
      </c>
      <c r="J6" s="25" t="s">
        <v>1796</v>
      </c>
      <c r="K6" s="25" t="s">
        <v>1797</v>
      </c>
    </row>
    <row r="7" spans="1:11" x14ac:dyDescent="0.25">
      <c r="A7" s="64" t="s">
        <v>1545</v>
      </c>
      <c r="B7" s="69" t="s">
        <v>1798</v>
      </c>
      <c r="C7" s="25" t="s">
        <v>1799</v>
      </c>
      <c r="D7" s="25" t="s">
        <v>1800</v>
      </c>
      <c r="E7" s="25" t="s">
        <v>1801</v>
      </c>
      <c r="F7" s="25" t="s">
        <v>1802</v>
      </c>
      <c r="G7" s="25" t="s">
        <v>1803</v>
      </c>
      <c r="H7" s="25" t="s">
        <v>1804</v>
      </c>
      <c r="I7" s="25" t="s">
        <v>1805</v>
      </c>
      <c r="J7" s="25" t="s">
        <v>1787</v>
      </c>
      <c r="K7" s="25" t="s">
        <v>1806</v>
      </c>
    </row>
    <row r="8" spans="1:11" x14ac:dyDescent="0.25">
      <c r="A8" s="64" t="s">
        <v>1556</v>
      </c>
      <c r="B8" s="69" t="s">
        <v>1807</v>
      </c>
      <c r="C8" s="25" t="s">
        <v>1808</v>
      </c>
      <c r="D8" s="25" t="s">
        <v>1809</v>
      </c>
      <c r="E8" s="25" t="s">
        <v>1810</v>
      </c>
      <c r="F8" s="25" t="s">
        <v>1811</v>
      </c>
      <c r="G8" s="25" t="s">
        <v>1812</v>
      </c>
      <c r="H8" s="25" t="s">
        <v>1813</v>
      </c>
      <c r="I8" s="25" t="s">
        <v>1814</v>
      </c>
      <c r="J8" s="25" t="s">
        <v>1815</v>
      </c>
      <c r="K8" s="25" t="s">
        <v>1816</v>
      </c>
    </row>
    <row r="9" spans="1:11" x14ac:dyDescent="0.25">
      <c r="A9" s="64" t="s">
        <v>331</v>
      </c>
      <c r="B9" s="69" t="s">
        <v>848</v>
      </c>
      <c r="C9" s="25" t="s">
        <v>1817</v>
      </c>
      <c r="D9" s="25" t="s">
        <v>888</v>
      </c>
      <c r="E9" s="25" t="s">
        <v>1818</v>
      </c>
      <c r="F9" s="25" t="s">
        <v>932</v>
      </c>
      <c r="G9" s="25" t="s">
        <v>1819</v>
      </c>
      <c r="H9" s="25" t="s">
        <v>977</v>
      </c>
      <c r="I9" s="25" t="s">
        <v>1820</v>
      </c>
      <c r="J9" s="25" t="s">
        <v>1016</v>
      </c>
      <c r="K9" s="25" t="s">
        <v>1821</v>
      </c>
    </row>
    <row r="10" spans="1:11" x14ac:dyDescent="0.25">
      <c r="A10" s="64" t="s">
        <v>330</v>
      </c>
      <c r="B10" s="69" t="s">
        <v>847</v>
      </c>
      <c r="C10" s="25" t="s">
        <v>1822</v>
      </c>
      <c r="D10" s="25" t="s">
        <v>887</v>
      </c>
      <c r="E10" s="25" t="s">
        <v>1823</v>
      </c>
      <c r="F10" s="25" t="s">
        <v>931</v>
      </c>
      <c r="G10" s="25" t="s">
        <v>981</v>
      </c>
      <c r="H10" s="25" t="s">
        <v>976</v>
      </c>
      <c r="I10" s="25" t="s">
        <v>1824</v>
      </c>
      <c r="J10" s="25" t="s">
        <v>1015</v>
      </c>
      <c r="K10" s="25" t="s">
        <v>1825</v>
      </c>
    </row>
    <row r="11" spans="1:11" x14ac:dyDescent="0.25">
      <c r="A11" s="64" t="s">
        <v>1031</v>
      </c>
      <c r="B11" s="69" t="s">
        <v>1826</v>
      </c>
      <c r="C11" s="25" t="s">
        <v>1827</v>
      </c>
      <c r="D11" s="25" t="s">
        <v>1828</v>
      </c>
      <c r="E11" s="25" t="s">
        <v>1829</v>
      </c>
      <c r="F11" s="25" t="s">
        <v>1830</v>
      </c>
      <c r="G11" s="25" t="s">
        <v>1831</v>
      </c>
      <c r="H11" s="25" t="s">
        <v>1832</v>
      </c>
      <c r="I11" s="25" t="s">
        <v>1833</v>
      </c>
      <c r="J11" s="25" t="s">
        <v>1834</v>
      </c>
      <c r="K11" s="25" t="s">
        <v>1835</v>
      </c>
    </row>
    <row r="12" spans="1:11" x14ac:dyDescent="0.25">
      <c r="A12" s="64" t="s">
        <v>1042</v>
      </c>
      <c r="B12" s="69" t="s">
        <v>1836</v>
      </c>
      <c r="C12" s="25" t="s">
        <v>1837</v>
      </c>
      <c r="D12" s="25" t="s">
        <v>1838</v>
      </c>
      <c r="E12" s="25" t="s">
        <v>1839</v>
      </c>
      <c r="F12" s="25" t="s">
        <v>1840</v>
      </c>
      <c r="G12" s="25" t="s">
        <v>1841</v>
      </c>
      <c r="H12" s="25" t="s">
        <v>1842</v>
      </c>
      <c r="I12" s="25" t="s">
        <v>1843</v>
      </c>
      <c r="J12" s="25" t="s">
        <v>1844</v>
      </c>
      <c r="K12" s="25" t="s">
        <v>1845</v>
      </c>
    </row>
    <row r="13" spans="1:11" x14ac:dyDescent="0.25">
      <c r="A13" s="64" t="s">
        <v>1053</v>
      </c>
      <c r="B13" s="69" t="s">
        <v>1846</v>
      </c>
      <c r="C13" s="25" t="s">
        <v>1847</v>
      </c>
      <c r="D13" s="25" t="s">
        <v>1848</v>
      </c>
      <c r="E13" s="25" t="s">
        <v>1849</v>
      </c>
      <c r="F13" s="25" t="s">
        <v>1850</v>
      </c>
      <c r="G13" s="25" t="s">
        <v>1851</v>
      </c>
      <c r="H13" s="25" t="s">
        <v>1852</v>
      </c>
      <c r="I13" s="25" t="s">
        <v>1853</v>
      </c>
      <c r="J13" s="25" t="s">
        <v>1854</v>
      </c>
      <c r="K13" s="25" t="s">
        <v>1855</v>
      </c>
    </row>
    <row r="14" spans="1:11" x14ac:dyDescent="0.25">
      <c r="A14" s="64" t="s">
        <v>1064</v>
      </c>
      <c r="B14" s="69" t="s">
        <v>1856</v>
      </c>
      <c r="C14" s="25" t="s">
        <v>1857</v>
      </c>
      <c r="D14" s="25" t="s">
        <v>1858</v>
      </c>
      <c r="E14" s="25" t="s">
        <v>1859</v>
      </c>
      <c r="F14" s="25" t="s">
        <v>1860</v>
      </c>
      <c r="G14" s="25" t="s">
        <v>1861</v>
      </c>
      <c r="H14" s="25" t="s">
        <v>1862</v>
      </c>
      <c r="I14" s="25" t="s">
        <v>1863</v>
      </c>
      <c r="J14" s="25" t="s">
        <v>1864</v>
      </c>
      <c r="K14" s="25" t="s">
        <v>1865</v>
      </c>
    </row>
    <row r="15" spans="1:11" x14ac:dyDescent="0.25">
      <c r="A15" s="64" t="s">
        <v>1617</v>
      </c>
      <c r="B15" s="69" t="s">
        <v>1866</v>
      </c>
      <c r="C15" s="25" t="s">
        <v>1867</v>
      </c>
      <c r="D15" s="25" t="s">
        <v>1868</v>
      </c>
      <c r="E15" s="25" t="s">
        <v>1869</v>
      </c>
      <c r="F15" s="25" t="s">
        <v>1870</v>
      </c>
      <c r="G15" s="25" t="s">
        <v>1871</v>
      </c>
      <c r="H15" s="25" t="s">
        <v>1872</v>
      </c>
      <c r="I15" s="25" t="s">
        <v>1873</v>
      </c>
      <c r="J15" s="25" t="s">
        <v>1874</v>
      </c>
      <c r="K15" s="25" t="s">
        <v>1875</v>
      </c>
    </row>
    <row r="16" spans="1:11" x14ac:dyDescent="0.25">
      <c r="A16" s="64" t="s">
        <v>1628</v>
      </c>
      <c r="B16" s="69" t="s">
        <v>1876</v>
      </c>
      <c r="C16" s="25" t="s">
        <v>1877</v>
      </c>
      <c r="D16" s="25" t="s">
        <v>1878</v>
      </c>
      <c r="E16" s="25" t="s">
        <v>1879</v>
      </c>
      <c r="F16" s="25" t="s">
        <v>1802</v>
      </c>
      <c r="G16" s="25" t="s">
        <v>1880</v>
      </c>
      <c r="H16" s="25" t="s">
        <v>1881</v>
      </c>
      <c r="I16" s="25" t="s">
        <v>1882</v>
      </c>
      <c r="J16" s="25" t="s">
        <v>1883</v>
      </c>
      <c r="K16" s="25" t="s">
        <v>1884</v>
      </c>
    </row>
    <row r="17" spans="1:11" x14ac:dyDescent="0.25">
      <c r="A17" s="64" t="s">
        <v>1639</v>
      </c>
      <c r="B17" s="69" t="s">
        <v>1885</v>
      </c>
      <c r="C17" s="25" t="s">
        <v>1886</v>
      </c>
      <c r="D17" s="25" t="s">
        <v>1887</v>
      </c>
      <c r="E17" s="25" t="s">
        <v>1888</v>
      </c>
      <c r="F17" s="25" t="s">
        <v>1889</v>
      </c>
      <c r="G17" s="25" t="s">
        <v>1890</v>
      </c>
      <c r="H17" s="25" t="s">
        <v>1891</v>
      </c>
      <c r="I17" s="25" t="s">
        <v>1892</v>
      </c>
      <c r="J17" s="25" t="s">
        <v>1893</v>
      </c>
      <c r="K17" s="25" t="s">
        <v>1894</v>
      </c>
    </row>
    <row r="18" spans="1:11" x14ac:dyDescent="0.25">
      <c r="A18" s="64" t="s">
        <v>1650</v>
      </c>
      <c r="B18" s="69" t="s">
        <v>1895</v>
      </c>
      <c r="C18" s="25" t="s">
        <v>1896</v>
      </c>
      <c r="D18" s="25" t="s">
        <v>1897</v>
      </c>
      <c r="E18" s="25" t="s">
        <v>1898</v>
      </c>
      <c r="F18" s="25" t="s">
        <v>1899</v>
      </c>
      <c r="G18" s="25" t="s">
        <v>1900</v>
      </c>
      <c r="H18" s="25" t="s">
        <v>1901</v>
      </c>
      <c r="I18" s="25" t="s">
        <v>1902</v>
      </c>
      <c r="J18" s="25" t="s">
        <v>1903</v>
      </c>
      <c r="K18" s="25" t="s">
        <v>1904</v>
      </c>
    </row>
    <row r="19" spans="1:11" x14ac:dyDescent="0.25">
      <c r="A19" s="64" t="s">
        <v>1661</v>
      </c>
      <c r="B19" s="69" t="s">
        <v>1905</v>
      </c>
      <c r="C19" s="25" t="s">
        <v>1906</v>
      </c>
      <c r="D19" s="25" t="s">
        <v>1907</v>
      </c>
      <c r="E19" s="25" t="s">
        <v>1908</v>
      </c>
      <c r="F19" s="25" t="s">
        <v>1909</v>
      </c>
      <c r="G19" s="25" t="s">
        <v>1910</v>
      </c>
      <c r="H19" s="25" t="s">
        <v>1911</v>
      </c>
      <c r="I19" s="25" t="s">
        <v>1912</v>
      </c>
      <c r="J19" s="25" t="s">
        <v>1913</v>
      </c>
      <c r="K19" s="25" t="s">
        <v>1914</v>
      </c>
    </row>
    <row r="20" spans="1:11" x14ac:dyDescent="0.25">
      <c r="A20" s="64" t="s">
        <v>1672</v>
      </c>
      <c r="B20" s="69" t="s">
        <v>1915</v>
      </c>
      <c r="C20" s="25" t="s">
        <v>1916</v>
      </c>
      <c r="D20" s="25" t="s">
        <v>1917</v>
      </c>
      <c r="E20" s="25" t="s">
        <v>1918</v>
      </c>
      <c r="F20" s="25" t="s">
        <v>1919</v>
      </c>
      <c r="G20" s="25" t="s">
        <v>1920</v>
      </c>
      <c r="H20" s="25" t="s">
        <v>1921</v>
      </c>
      <c r="I20" s="25" t="s">
        <v>1922</v>
      </c>
      <c r="J20" s="25" t="s">
        <v>1923</v>
      </c>
      <c r="K20" s="25" t="s">
        <v>1924</v>
      </c>
    </row>
    <row r="21" spans="1:11" x14ac:dyDescent="0.25">
      <c r="A21" s="64" t="s">
        <v>1683</v>
      </c>
      <c r="B21" s="69" t="s">
        <v>1925</v>
      </c>
      <c r="C21" s="25" t="s">
        <v>1668</v>
      </c>
      <c r="D21" s="25" t="s">
        <v>1926</v>
      </c>
      <c r="E21" s="25" t="s">
        <v>1927</v>
      </c>
      <c r="F21" s="25" t="s">
        <v>1928</v>
      </c>
      <c r="G21" s="25" t="s">
        <v>1929</v>
      </c>
      <c r="H21" s="25" t="s">
        <v>1930</v>
      </c>
      <c r="I21" s="25" t="s">
        <v>1931</v>
      </c>
      <c r="J21" s="25" t="s">
        <v>1932</v>
      </c>
      <c r="K21" s="25" t="s">
        <v>885</v>
      </c>
    </row>
    <row r="22" spans="1:11" x14ac:dyDescent="0.25">
      <c r="A22" s="64" t="s">
        <v>1694</v>
      </c>
      <c r="B22" s="69" t="s">
        <v>1933</v>
      </c>
      <c r="C22" s="25" t="s">
        <v>1934</v>
      </c>
      <c r="D22" s="25" t="s">
        <v>1935</v>
      </c>
      <c r="E22" s="25" t="s">
        <v>1936</v>
      </c>
      <c r="F22" s="25" t="s">
        <v>1937</v>
      </c>
      <c r="G22" s="25" t="s">
        <v>1938</v>
      </c>
      <c r="H22" s="25" t="s">
        <v>1939</v>
      </c>
      <c r="I22" s="25" t="s">
        <v>1548</v>
      </c>
      <c r="J22" s="25" t="s">
        <v>1940</v>
      </c>
      <c r="K22" s="25" t="s">
        <v>1941</v>
      </c>
    </row>
    <row r="23" spans="1:11" x14ac:dyDescent="0.25">
      <c r="A23" s="64" t="s">
        <v>1705</v>
      </c>
      <c r="B23" s="69" t="s">
        <v>1942</v>
      </c>
      <c r="C23" s="25" t="s">
        <v>1943</v>
      </c>
      <c r="D23" s="25" t="s">
        <v>1944</v>
      </c>
      <c r="E23" s="25" t="s">
        <v>1945</v>
      </c>
      <c r="F23" s="25" t="s">
        <v>1946</v>
      </c>
      <c r="G23" s="25" t="s">
        <v>1947</v>
      </c>
      <c r="H23" s="25" t="s">
        <v>1948</v>
      </c>
      <c r="I23" s="25" t="s">
        <v>1949</v>
      </c>
      <c r="J23" s="25" t="s">
        <v>1950</v>
      </c>
      <c r="K23" s="25" t="s">
        <v>1951</v>
      </c>
    </row>
    <row r="24" spans="1:11" x14ac:dyDescent="0.25">
      <c r="A24" s="64" t="s">
        <v>1716</v>
      </c>
      <c r="B24" s="69" t="s">
        <v>1952</v>
      </c>
      <c r="C24" s="25" t="s">
        <v>1953</v>
      </c>
      <c r="D24" s="25" t="s">
        <v>1954</v>
      </c>
      <c r="E24" s="25" t="s">
        <v>1955</v>
      </c>
      <c r="F24" s="25" t="s">
        <v>1956</v>
      </c>
      <c r="G24" s="25" t="s">
        <v>1957</v>
      </c>
      <c r="H24" s="25" t="s">
        <v>1958</v>
      </c>
      <c r="I24" s="25" t="s">
        <v>1959</v>
      </c>
      <c r="J24" s="25" t="s">
        <v>1960</v>
      </c>
      <c r="K24" s="25" t="s">
        <v>1961</v>
      </c>
    </row>
    <row r="25" spans="1:11" x14ac:dyDescent="0.25">
      <c r="A25" s="83" t="s">
        <v>1727</v>
      </c>
      <c r="B25" s="78" t="s">
        <v>1962</v>
      </c>
      <c r="C25" s="68" t="s">
        <v>1963</v>
      </c>
      <c r="D25" s="68" t="s">
        <v>1964</v>
      </c>
      <c r="E25" s="68" t="s">
        <v>1965</v>
      </c>
      <c r="F25" s="68" t="s">
        <v>1966</v>
      </c>
      <c r="G25" s="68" t="s">
        <v>1967</v>
      </c>
      <c r="H25" s="68" t="s">
        <v>1968</v>
      </c>
      <c r="I25" s="68" t="s">
        <v>1969</v>
      </c>
      <c r="J25" s="68" t="s">
        <v>1970</v>
      </c>
      <c r="K25" s="68" t="s">
        <v>1971</v>
      </c>
    </row>
    <row r="26" spans="1:11" x14ac:dyDescent="0.25">
      <c r="A26" s="83" t="s">
        <v>1738</v>
      </c>
      <c r="B26" s="78" t="s">
        <v>1972</v>
      </c>
      <c r="C26" s="68" t="s">
        <v>1973</v>
      </c>
      <c r="D26" s="68" t="s">
        <v>1974</v>
      </c>
      <c r="E26" s="68" t="s">
        <v>1975</v>
      </c>
      <c r="F26" s="68" t="s">
        <v>1976</v>
      </c>
      <c r="G26" s="68" t="s">
        <v>1977</v>
      </c>
      <c r="H26" s="68" t="s">
        <v>1978</v>
      </c>
      <c r="I26" s="68" t="s">
        <v>1979</v>
      </c>
      <c r="J26" s="68" t="s">
        <v>1980</v>
      </c>
      <c r="K26" s="68" t="s">
        <v>1981</v>
      </c>
    </row>
    <row r="27" spans="1:11" x14ac:dyDescent="0.25">
      <c r="A27" s="83" t="s">
        <v>1749</v>
      </c>
      <c r="B27" s="78" t="s">
        <v>1982</v>
      </c>
      <c r="C27" s="68" t="s">
        <v>1983</v>
      </c>
      <c r="D27" s="68" t="s">
        <v>1984</v>
      </c>
      <c r="E27" s="68" t="s">
        <v>1985</v>
      </c>
      <c r="F27" s="68" t="s">
        <v>1986</v>
      </c>
      <c r="G27" s="68" t="s">
        <v>1987</v>
      </c>
      <c r="H27" s="68" t="s">
        <v>1988</v>
      </c>
      <c r="I27" s="68" t="s">
        <v>1989</v>
      </c>
      <c r="J27" s="68" t="s">
        <v>1990</v>
      </c>
      <c r="K27" s="68" t="s">
        <v>1991</v>
      </c>
    </row>
    <row r="28" spans="1:11" ht="15.75" thickBot="1" x14ac:dyDescent="0.3">
      <c r="A28" s="84" t="s">
        <v>1760</v>
      </c>
      <c r="B28" s="80" t="s">
        <v>1992</v>
      </c>
      <c r="C28" s="29" t="s">
        <v>1993</v>
      </c>
      <c r="D28" s="29" t="s">
        <v>1994</v>
      </c>
      <c r="E28" s="29" t="s">
        <v>1995</v>
      </c>
      <c r="F28" s="29" t="s">
        <v>1996</v>
      </c>
      <c r="G28" s="29" t="s">
        <v>1997</v>
      </c>
      <c r="H28" s="29" t="s">
        <v>1998</v>
      </c>
      <c r="I28" s="29" t="s">
        <v>1802</v>
      </c>
      <c r="J28" s="29" t="s">
        <v>1999</v>
      </c>
      <c r="K28" s="29" t="s">
        <v>2000</v>
      </c>
    </row>
    <row r="29" spans="1:11" x14ac:dyDescent="0.25">
      <c r="A29" s="65"/>
      <c r="B29" s="44"/>
      <c r="C29" s="44"/>
      <c r="D29" s="44"/>
      <c r="E29" s="44"/>
      <c r="F29" s="44"/>
      <c r="G29" s="44"/>
      <c r="H29" s="44"/>
      <c r="I29" s="44"/>
      <c r="J29" s="44"/>
      <c r="K29" s="44"/>
    </row>
    <row r="30" spans="1:11" x14ac:dyDescent="0.25">
      <c r="A30" s="65"/>
      <c r="B30" s="90"/>
      <c r="C30" s="90"/>
      <c r="D30" s="90"/>
      <c r="E30" s="90"/>
      <c r="F30" s="90"/>
      <c r="G30" s="90"/>
      <c r="H30" s="44"/>
      <c r="I30" s="44"/>
      <c r="J30" s="44"/>
      <c r="K30" s="44"/>
    </row>
    <row r="31" spans="1:11" x14ac:dyDescent="0.25">
      <c r="A31" s="33"/>
      <c r="B31" s="90"/>
      <c r="C31" s="90"/>
      <c r="D31" s="90"/>
      <c r="E31" s="90"/>
      <c r="F31" s="90"/>
      <c r="G31" s="90"/>
      <c r="H31" s="44"/>
      <c r="I31" s="44"/>
      <c r="J31" s="44"/>
      <c r="K31" s="44"/>
    </row>
    <row r="32" spans="1:11" x14ac:dyDescent="0.25">
      <c r="A32" s="33"/>
      <c r="B32" s="90"/>
      <c r="C32" s="90"/>
      <c r="D32" s="90"/>
      <c r="E32" s="90"/>
      <c r="F32" s="90"/>
      <c r="G32" s="90"/>
      <c r="H32" s="44"/>
      <c r="I32" s="44"/>
      <c r="J32" s="44"/>
      <c r="K32" s="44"/>
    </row>
    <row r="33" spans="1:11" x14ac:dyDescent="0.25">
      <c r="A33" s="33"/>
      <c r="B33" s="90"/>
      <c r="C33" s="90"/>
      <c r="D33" s="90"/>
      <c r="E33" s="90"/>
      <c r="F33" s="90"/>
      <c r="G33" s="90"/>
      <c r="H33" s="44"/>
      <c r="I33" s="44"/>
      <c r="J33" s="44"/>
      <c r="K33" s="44"/>
    </row>
    <row r="34" spans="1:11" x14ac:dyDescent="0.25">
      <c r="A34" s="33"/>
      <c r="B34" s="90"/>
      <c r="C34" s="90"/>
      <c r="D34" s="90"/>
      <c r="E34" s="90"/>
      <c r="F34" s="90"/>
      <c r="G34" s="90"/>
      <c r="H34" s="44"/>
      <c r="I34" s="44"/>
      <c r="J34" s="44"/>
      <c r="K34" s="44"/>
    </row>
    <row r="35" spans="1:11" x14ac:dyDescent="0.25">
      <c r="A35" s="33"/>
      <c r="B35" s="90"/>
      <c r="C35" s="90"/>
      <c r="D35" s="90"/>
      <c r="E35" s="90"/>
      <c r="F35" s="90"/>
      <c r="G35" s="90"/>
      <c r="H35" s="44"/>
      <c r="I35" s="44"/>
      <c r="J35" s="44"/>
      <c r="K35" s="44"/>
    </row>
    <row r="36" spans="1:11" x14ac:dyDescent="0.25">
      <c r="A36" s="33"/>
      <c r="B36" s="90"/>
      <c r="C36" s="90"/>
      <c r="D36" s="90"/>
      <c r="E36" s="90"/>
      <c r="F36" s="90"/>
      <c r="G36" s="90"/>
      <c r="H36" s="44"/>
      <c r="I36" s="44"/>
      <c r="J36" s="44"/>
      <c r="K36" s="44"/>
    </row>
    <row r="37" spans="1:11" x14ac:dyDescent="0.25">
      <c r="A37" s="33"/>
      <c r="B37" s="90"/>
      <c r="C37" s="90"/>
      <c r="D37" s="90"/>
      <c r="E37" s="90"/>
      <c r="F37" s="44"/>
      <c r="G37" s="44"/>
      <c r="H37" s="44"/>
      <c r="I37" s="44"/>
      <c r="J37" s="44"/>
      <c r="K37" s="44"/>
    </row>
    <row r="38" spans="1:11" x14ac:dyDescent="0.25">
      <c r="A38" s="33"/>
      <c r="B38" s="44"/>
      <c r="C38" s="44"/>
      <c r="D38" s="44"/>
      <c r="E38" s="44"/>
      <c r="F38" s="44"/>
      <c r="G38" s="44"/>
      <c r="H38" s="44"/>
      <c r="I38" s="44"/>
      <c r="J38" s="44"/>
      <c r="K38" s="44"/>
    </row>
    <row r="39" spans="1:11" x14ac:dyDescent="0.25">
      <c r="A39" s="33"/>
      <c r="B39" s="44"/>
      <c r="C39" s="44"/>
      <c r="D39" s="44"/>
      <c r="E39" s="44"/>
      <c r="F39" s="44"/>
      <c r="G39" s="44"/>
      <c r="H39" s="44"/>
      <c r="I39" s="44"/>
      <c r="J39" s="44"/>
      <c r="K39" s="44"/>
    </row>
    <row r="40" spans="1:11" x14ac:dyDescent="0.25">
      <c r="A40" s="33"/>
      <c r="B40" s="44"/>
      <c r="C40" s="44"/>
      <c r="D40" s="44"/>
      <c r="E40" s="44"/>
      <c r="F40" s="44"/>
      <c r="G40" s="44"/>
      <c r="H40" s="44"/>
      <c r="I40" s="44"/>
      <c r="J40" s="44"/>
      <c r="K40" s="44"/>
    </row>
    <row r="41" spans="1:11" x14ac:dyDescent="0.25">
      <c r="A41" s="33"/>
      <c r="B41" s="44"/>
      <c r="C41" s="44"/>
      <c r="D41" s="44"/>
      <c r="E41" s="44"/>
      <c r="F41" s="44"/>
      <c r="G41" s="44"/>
      <c r="H41" s="44"/>
      <c r="I41" s="44"/>
      <c r="J41" s="44"/>
      <c r="K41" s="44"/>
    </row>
    <row r="42" spans="1:11" x14ac:dyDescent="0.25">
      <c r="A42" s="33"/>
      <c r="B42" s="44"/>
      <c r="C42" s="44"/>
      <c r="D42" s="44"/>
      <c r="E42" s="44"/>
      <c r="F42" s="44"/>
      <c r="G42" s="44"/>
      <c r="H42" s="44"/>
      <c r="I42" s="44"/>
      <c r="J42" s="44"/>
      <c r="K42" s="44"/>
    </row>
    <row r="43" spans="1:11" x14ac:dyDescent="0.25">
      <c r="A43" s="33"/>
      <c r="B43" s="44"/>
      <c r="C43" s="44"/>
      <c r="D43" s="44"/>
      <c r="E43" s="44"/>
      <c r="F43" s="44"/>
      <c r="G43" s="44"/>
      <c r="H43" s="44"/>
      <c r="I43" s="44"/>
      <c r="J43" s="44"/>
      <c r="K43" s="44"/>
    </row>
    <row r="44" spans="1:11" x14ac:dyDescent="0.25">
      <c r="A44" s="33"/>
      <c r="B44" s="44"/>
      <c r="C44" s="44"/>
      <c r="D44" s="44"/>
      <c r="E44" s="44"/>
      <c r="F44" s="44"/>
      <c r="G44" s="44"/>
      <c r="H44" s="44"/>
      <c r="I44" s="44"/>
      <c r="J44" s="44"/>
      <c r="K44" s="44"/>
    </row>
    <row r="45" spans="1:11" x14ac:dyDescent="0.25">
      <c r="A45" s="33"/>
      <c r="B45" s="44"/>
      <c r="C45" s="44"/>
      <c r="D45" s="44"/>
      <c r="E45" s="44"/>
      <c r="F45" s="44"/>
      <c r="G45" s="44"/>
      <c r="H45" s="44"/>
      <c r="I45" s="44"/>
      <c r="J45" s="44"/>
      <c r="K45" s="44"/>
    </row>
    <row r="46" spans="1:11" x14ac:dyDescent="0.25">
      <c r="A46" s="33"/>
      <c r="B46" s="44"/>
      <c r="C46" s="44"/>
      <c r="D46" s="44"/>
      <c r="E46" s="44"/>
      <c r="F46" s="44"/>
      <c r="G46" s="44"/>
      <c r="H46" s="44"/>
      <c r="I46" s="44"/>
      <c r="J46" s="44"/>
      <c r="K46" s="44"/>
    </row>
    <row r="47" spans="1:11" x14ac:dyDescent="0.25">
      <c r="A47" s="33"/>
      <c r="B47" s="44"/>
      <c r="C47" s="44"/>
      <c r="D47" s="44"/>
      <c r="E47" s="44"/>
      <c r="F47" s="44"/>
      <c r="G47" s="44"/>
      <c r="H47" s="44"/>
      <c r="I47" s="44"/>
      <c r="J47" s="44"/>
      <c r="K47" s="44"/>
    </row>
    <row r="48" spans="1:11" x14ac:dyDescent="0.25">
      <c r="A48" s="33"/>
      <c r="B48" s="44"/>
      <c r="C48" s="44"/>
      <c r="D48" s="44"/>
      <c r="E48" s="44"/>
      <c r="F48" s="44"/>
      <c r="G48" s="44"/>
      <c r="H48" s="44"/>
      <c r="I48" s="44"/>
      <c r="J48" s="44"/>
      <c r="K48" s="44"/>
    </row>
    <row r="49" spans="1:11" x14ac:dyDescent="0.25">
      <c r="A49" s="33"/>
      <c r="B49" s="44"/>
      <c r="C49" s="44"/>
      <c r="D49" s="44"/>
      <c r="E49" s="44"/>
      <c r="F49" s="44"/>
      <c r="G49" s="44"/>
      <c r="H49" s="44"/>
      <c r="I49" s="44"/>
      <c r="J49" s="44"/>
      <c r="K49" s="44"/>
    </row>
    <row r="50" spans="1:11" x14ac:dyDescent="0.25">
      <c r="A50" s="33"/>
      <c r="B50" s="44"/>
      <c r="C50" s="44"/>
      <c r="D50" s="44"/>
      <c r="E50" s="44"/>
      <c r="F50" s="44"/>
      <c r="G50" s="44"/>
      <c r="H50" s="44"/>
      <c r="I50" s="44"/>
      <c r="J50" s="44"/>
      <c r="K50" s="44"/>
    </row>
    <row r="51" spans="1:11" x14ac:dyDescent="0.25">
      <c r="A51" s="33"/>
      <c r="B51" s="44"/>
      <c r="C51" s="44"/>
      <c r="D51" s="44"/>
      <c r="E51" s="44"/>
      <c r="F51" s="44"/>
      <c r="G51" s="44"/>
      <c r="H51" s="44"/>
      <c r="I51" s="44"/>
      <c r="J51" s="44"/>
      <c r="K51" s="44"/>
    </row>
    <row r="52" spans="1:11" x14ac:dyDescent="0.25">
      <c r="A52" s="33"/>
      <c r="B52" s="44"/>
      <c r="C52" s="44"/>
      <c r="D52" s="44"/>
      <c r="E52" s="44"/>
      <c r="F52" s="44"/>
      <c r="G52" s="44"/>
      <c r="H52" s="44"/>
      <c r="I52" s="44"/>
      <c r="J52" s="44"/>
      <c r="K52" s="44"/>
    </row>
    <row r="53" spans="1:11" x14ac:dyDescent="0.25">
      <c r="A53" s="33"/>
      <c r="B53" s="44"/>
      <c r="C53" s="44"/>
      <c r="D53" s="44"/>
      <c r="E53" s="44"/>
      <c r="F53" s="44"/>
      <c r="G53" s="44"/>
      <c r="H53" s="44"/>
      <c r="I53" s="44"/>
      <c r="J53" s="44"/>
      <c r="K53" s="44"/>
    </row>
    <row r="54" spans="1:11" x14ac:dyDescent="0.25">
      <c r="A54" s="33"/>
      <c r="B54" s="44"/>
      <c r="C54" s="44"/>
      <c r="D54" s="44"/>
      <c r="E54" s="44"/>
      <c r="F54" s="44"/>
      <c r="G54" s="44"/>
      <c r="H54" s="44"/>
      <c r="I54" s="44"/>
      <c r="J54" s="44"/>
      <c r="K54" s="44"/>
    </row>
    <row r="55" spans="1:11" x14ac:dyDescent="0.25">
      <c r="A55" s="33"/>
      <c r="B55" s="44"/>
      <c r="C55" s="44"/>
      <c r="D55" s="44"/>
      <c r="E55" s="44"/>
      <c r="F55" s="44"/>
      <c r="G55" s="44"/>
      <c r="H55" s="44"/>
      <c r="I55" s="44"/>
      <c r="J55" s="44"/>
      <c r="K55" s="44"/>
    </row>
    <row r="56" spans="1:11" x14ac:dyDescent="0.25">
      <c r="A56" s="33"/>
      <c r="B56" s="44"/>
      <c r="C56" s="44"/>
      <c r="D56" s="44"/>
      <c r="E56" s="44"/>
      <c r="F56" s="44"/>
      <c r="G56" s="44"/>
      <c r="H56" s="44"/>
      <c r="I56" s="44"/>
      <c r="J56" s="44"/>
      <c r="K56" s="44"/>
    </row>
    <row r="57" spans="1:11" x14ac:dyDescent="0.25">
      <c r="A57" s="33"/>
      <c r="B57" s="44"/>
      <c r="C57" s="44"/>
      <c r="D57" s="44"/>
      <c r="E57" s="44"/>
      <c r="F57" s="44"/>
      <c r="G57" s="44"/>
      <c r="H57" s="44"/>
      <c r="I57" s="44"/>
      <c r="J57" s="44"/>
      <c r="K57" s="44"/>
    </row>
    <row r="58" spans="1:11" x14ac:dyDescent="0.25">
      <c r="A58" s="33"/>
      <c r="B58" s="44"/>
      <c r="C58" s="44"/>
      <c r="D58" s="44"/>
      <c r="E58" s="44"/>
      <c r="F58" s="44"/>
      <c r="G58" s="44"/>
      <c r="H58" s="44"/>
      <c r="I58" s="44"/>
      <c r="J58" s="44"/>
      <c r="K58" s="44"/>
    </row>
  </sheetData>
  <mergeCells count="6">
    <mergeCell ref="B2:K2"/>
    <mergeCell ref="B3:C3"/>
    <mergeCell ref="D3:E3"/>
    <mergeCell ref="F3:G3"/>
    <mergeCell ref="H3:I3"/>
    <mergeCell ref="J3:K3"/>
  </mergeCells>
  <pageMargins left="0.25" right="0.25" top="0.75" bottom="0.75" header="0.3" footer="0.3"/>
  <pageSetup scale="69" orientation="landscape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C9F7D-8DB1-44FF-8265-70A389912CB2}">
  <sheetPr>
    <pageSetUpPr fitToPage="1"/>
  </sheetPr>
  <dimension ref="A1:K28"/>
  <sheetViews>
    <sheetView zoomScale="96" workbookViewId="0">
      <pane xSplit="1" ySplit="4" topLeftCell="B5" activePane="bottomRight" state="frozen"/>
      <selection pane="topRight" activeCell="B1" sqref="B1"/>
      <selection pane="bottomLeft" activeCell="A4" sqref="A4"/>
      <selection pane="bottomRight" activeCell="A12" sqref="A12"/>
    </sheetView>
  </sheetViews>
  <sheetFormatPr defaultRowHeight="15" x14ac:dyDescent="0.25"/>
  <cols>
    <col min="1" max="1" width="24.5703125" customWidth="1"/>
    <col min="2" max="5" width="16.85546875" style="20" customWidth="1"/>
    <col min="6" max="11" width="16.85546875" customWidth="1"/>
  </cols>
  <sheetData>
    <row r="1" spans="1:11" ht="15.75" thickBot="1" x14ac:dyDescent="0.3">
      <c r="A1" s="19" t="s">
        <v>2001</v>
      </c>
    </row>
    <row r="2" spans="1:11" x14ac:dyDescent="0.25">
      <c r="A2" s="18"/>
      <c r="B2" s="198" t="s">
        <v>327</v>
      </c>
      <c r="C2" s="199"/>
      <c r="D2" s="199"/>
      <c r="E2" s="199"/>
      <c r="F2" s="199"/>
      <c r="G2" s="199"/>
      <c r="H2" s="199"/>
      <c r="I2" s="199"/>
      <c r="J2" s="199"/>
      <c r="K2" s="200"/>
    </row>
    <row r="3" spans="1:11" x14ac:dyDescent="0.25">
      <c r="A3" s="18"/>
      <c r="B3" s="223" t="s">
        <v>1516</v>
      </c>
      <c r="C3" s="224"/>
      <c r="D3" s="224" t="s">
        <v>1517</v>
      </c>
      <c r="E3" s="224"/>
      <c r="F3" s="224" t="s">
        <v>1518</v>
      </c>
      <c r="G3" s="224"/>
      <c r="H3" s="224" t="s">
        <v>1519</v>
      </c>
      <c r="I3" s="224"/>
      <c r="J3" s="224" t="s">
        <v>1520</v>
      </c>
      <c r="K3" s="225"/>
    </row>
    <row r="4" spans="1:11" x14ac:dyDescent="0.25">
      <c r="A4" s="22" t="s">
        <v>1521</v>
      </c>
      <c r="B4" s="72" t="s">
        <v>1522</v>
      </c>
      <c r="C4" s="126" t="s">
        <v>222</v>
      </c>
      <c r="D4" s="126" t="s">
        <v>1522</v>
      </c>
      <c r="E4" s="126" t="s">
        <v>222</v>
      </c>
      <c r="F4" s="126" t="s">
        <v>1522</v>
      </c>
      <c r="G4" s="126" t="s">
        <v>222</v>
      </c>
      <c r="H4" s="126" t="s">
        <v>1522</v>
      </c>
      <c r="I4" s="126" t="s">
        <v>222</v>
      </c>
      <c r="J4" s="126" t="s">
        <v>1522</v>
      </c>
      <c r="K4" s="127" t="s">
        <v>222</v>
      </c>
    </row>
    <row r="5" spans="1:11" x14ac:dyDescent="0.25">
      <c r="A5" s="22" t="s">
        <v>1523</v>
      </c>
      <c r="B5" s="62" t="s">
        <v>2002</v>
      </c>
      <c r="C5" s="25" t="s">
        <v>2003</v>
      </c>
      <c r="D5" s="25" t="s">
        <v>2004</v>
      </c>
      <c r="E5" s="25" t="s">
        <v>2005</v>
      </c>
      <c r="F5" s="25" t="s">
        <v>2006</v>
      </c>
      <c r="G5" s="25" t="s">
        <v>2007</v>
      </c>
      <c r="H5" s="25" t="s">
        <v>2008</v>
      </c>
      <c r="I5" s="25" t="s">
        <v>2009</v>
      </c>
      <c r="J5" s="25" t="s">
        <v>2010</v>
      </c>
      <c r="K5" s="34" t="s">
        <v>2011</v>
      </c>
    </row>
    <row r="6" spans="1:11" x14ac:dyDescent="0.25">
      <c r="A6" s="22" t="s">
        <v>1534</v>
      </c>
      <c r="B6" s="62" t="s">
        <v>2012</v>
      </c>
      <c r="C6" s="25" t="s">
        <v>2013</v>
      </c>
      <c r="D6" s="25" t="s">
        <v>2014</v>
      </c>
      <c r="E6" s="25" t="s">
        <v>2015</v>
      </c>
      <c r="F6" s="25" t="s">
        <v>2016</v>
      </c>
      <c r="G6" s="25" t="s">
        <v>2017</v>
      </c>
      <c r="H6" s="25" t="s">
        <v>2018</v>
      </c>
      <c r="I6" s="25" t="s">
        <v>2019</v>
      </c>
      <c r="J6" s="25" t="s">
        <v>2020</v>
      </c>
      <c r="K6" s="34" t="s">
        <v>2021</v>
      </c>
    </row>
    <row r="7" spans="1:11" x14ac:dyDescent="0.25">
      <c r="A7" s="22" t="s">
        <v>1545</v>
      </c>
      <c r="B7" s="62" t="s">
        <v>2022</v>
      </c>
      <c r="C7" s="25" t="s">
        <v>2023</v>
      </c>
      <c r="D7" s="25" t="s">
        <v>2024</v>
      </c>
      <c r="E7" s="25" t="s">
        <v>2025</v>
      </c>
      <c r="F7" s="25" t="s">
        <v>2026</v>
      </c>
      <c r="G7" s="25" t="s">
        <v>2027</v>
      </c>
      <c r="H7" s="25" t="s">
        <v>2028</v>
      </c>
      <c r="I7" s="25" t="s">
        <v>2029</v>
      </c>
      <c r="J7" s="25" t="s">
        <v>2030</v>
      </c>
      <c r="K7" s="34" t="s">
        <v>2031</v>
      </c>
    </row>
    <row r="8" spans="1:11" x14ac:dyDescent="0.25">
      <c r="A8" s="22" t="s">
        <v>1556</v>
      </c>
      <c r="B8" s="62" t="s">
        <v>2032</v>
      </c>
      <c r="C8" s="25" t="s">
        <v>2033</v>
      </c>
      <c r="D8" s="25" t="s">
        <v>2034</v>
      </c>
      <c r="E8" s="25" t="s">
        <v>2035</v>
      </c>
      <c r="F8" s="25" t="s">
        <v>2036</v>
      </c>
      <c r="G8" s="25" t="s">
        <v>2037</v>
      </c>
      <c r="H8" s="25" t="s">
        <v>2038</v>
      </c>
      <c r="I8" s="25" t="s">
        <v>2039</v>
      </c>
      <c r="J8" s="25" t="s">
        <v>2040</v>
      </c>
      <c r="K8" s="34" t="s">
        <v>2041</v>
      </c>
    </row>
    <row r="9" spans="1:11" x14ac:dyDescent="0.25">
      <c r="A9" s="22" t="s">
        <v>331</v>
      </c>
      <c r="B9" s="62" t="s">
        <v>850</v>
      </c>
      <c r="C9" s="25" t="s">
        <v>2042</v>
      </c>
      <c r="D9" s="25" t="s">
        <v>890</v>
      </c>
      <c r="E9" s="25" t="s">
        <v>2043</v>
      </c>
      <c r="F9" s="25" t="s">
        <v>934</v>
      </c>
      <c r="G9" s="25" t="s">
        <v>2044</v>
      </c>
      <c r="H9" s="25" t="s">
        <v>979</v>
      </c>
      <c r="I9" s="25" t="s">
        <v>2045</v>
      </c>
      <c r="J9" s="25" t="s">
        <v>1018</v>
      </c>
      <c r="K9" s="34" t="s">
        <v>2046</v>
      </c>
    </row>
    <row r="10" spans="1:11" x14ac:dyDescent="0.25">
      <c r="A10" s="22" t="s">
        <v>330</v>
      </c>
      <c r="B10" s="62" t="s">
        <v>849</v>
      </c>
      <c r="C10" s="25" t="s">
        <v>2047</v>
      </c>
      <c r="D10" s="25" t="s">
        <v>889</v>
      </c>
      <c r="E10" s="25" t="s">
        <v>2048</v>
      </c>
      <c r="F10" s="25" t="s">
        <v>933</v>
      </c>
      <c r="G10" s="25" t="s">
        <v>2049</v>
      </c>
      <c r="H10" s="25" t="s">
        <v>978</v>
      </c>
      <c r="I10" s="25" t="s">
        <v>2050</v>
      </c>
      <c r="J10" s="25" t="s">
        <v>1017</v>
      </c>
      <c r="K10" s="34" t="s">
        <v>2051</v>
      </c>
    </row>
    <row r="11" spans="1:11" x14ac:dyDescent="0.25">
      <c r="A11" s="22" t="s">
        <v>1031</v>
      </c>
      <c r="B11" s="62" t="s">
        <v>2052</v>
      </c>
      <c r="C11" s="25" t="s">
        <v>2053</v>
      </c>
      <c r="D11" s="25" t="s">
        <v>2054</v>
      </c>
      <c r="E11" s="25" t="s">
        <v>2055</v>
      </c>
      <c r="F11" s="25" t="s">
        <v>2056</v>
      </c>
      <c r="G11" s="25" t="s">
        <v>2057</v>
      </c>
      <c r="H11" s="25" t="s">
        <v>2058</v>
      </c>
      <c r="I11" s="25" t="s">
        <v>2059</v>
      </c>
      <c r="J11" s="25" t="s">
        <v>2060</v>
      </c>
      <c r="K11" s="34" t="s">
        <v>2061</v>
      </c>
    </row>
    <row r="12" spans="1:11" x14ac:dyDescent="0.25">
      <c r="A12" s="22" t="s">
        <v>1042</v>
      </c>
      <c r="B12" s="62" t="s">
        <v>2062</v>
      </c>
      <c r="C12" s="25" t="s">
        <v>2063</v>
      </c>
      <c r="D12" s="25" t="s">
        <v>2064</v>
      </c>
      <c r="E12" s="25" t="s">
        <v>2065</v>
      </c>
      <c r="F12" s="25" t="s">
        <v>2066</v>
      </c>
      <c r="G12" s="25" t="s">
        <v>2067</v>
      </c>
      <c r="H12" s="25" t="s">
        <v>2068</v>
      </c>
      <c r="I12" s="25" t="s">
        <v>2069</v>
      </c>
      <c r="J12" s="25" t="s">
        <v>2070</v>
      </c>
      <c r="K12" s="34" t="s">
        <v>2071</v>
      </c>
    </row>
    <row r="13" spans="1:11" x14ac:dyDescent="0.25">
      <c r="A13" s="22" t="s">
        <v>1053</v>
      </c>
      <c r="B13" s="62" t="s">
        <v>2072</v>
      </c>
      <c r="C13" s="25" t="s">
        <v>2073</v>
      </c>
      <c r="D13" s="25" t="s">
        <v>2074</v>
      </c>
      <c r="E13" s="25" t="s">
        <v>2075</v>
      </c>
      <c r="F13" s="25" t="s">
        <v>2076</v>
      </c>
      <c r="G13" s="25" t="s">
        <v>2077</v>
      </c>
      <c r="H13" s="25" t="s">
        <v>2078</v>
      </c>
      <c r="I13" s="25" t="s">
        <v>2079</v>
      </c>
      <c r="J13" s="25" t="s">
        <v>2080</v>
      </c>
      <c r="K13" s="34" t="s">
        <v>2081</v>
      </c>
    </row>
    <row r="14" spans="1:11" x14ac:dyDescent="0.25">
      <c r="A14" s="22" t="s">
        <v>1064</v>
      </c>
      <c r="B14" s="62" t="s">
        <v>2082</v>
      </c>
      <c r="C14" s="25" t="s">
        <v>2083</v>
      </c>
      <c r="D14" s="25" t="s">
        <v>2084</v>
      </c>
      <c r="E14" s="25" t="s">
        <v>2085</v>
      </c>
      <c r="F14" s="25" t="s">
        <v>2086</v>
      </c>
      <c r="G14" s="25" t="s">
        <v>2087</v>
      </c>
      <c r="H14" s="25" t="s">
        <v>2088</v>
      </c>
      <c r="I14" s="25" t="s">
        <v>2089</v>
      </c>
      <c r="J14" s="25" t="s">
        <v>2090</v>
      </c>
      <c r="K14" s="34" t="s">
        <v>2091</v>
      </c>
    </row>
    <row r="15" spans="1:11" x14ac:dyDescent="0.25">
      <c r="A15" s="22" t="s">
        <v>1617</v>
      </c>
      <c r="B15" s="62" t="s">
        <v>2092</v>
      </c>
      <c r="C15" s="25" t="s">
        <v>2093</v>
      </c>
      <c r="D15" s="25" t="s">
        <v>2094</v>
      </c>
      <c r="E15" s="25" t="s">
        <v>2095</v>
      </c>
      <c r="F15" s="25" t="s">
        <v>2096</v>
      </c>
      <c r="G15" s="25" t="s">
        <v>2097</v>
      </c>
      <c r="H15" s="25" t="s">
        <v>2098</v>
      </c>
      <c r="I15" s="25" t="s">
        <v>2099</v>
      </c>
      <c r="J15" s="25" t="s">
        <v>2100</v>
      </c>
      <c r="K15" s="34" t="s">
        <v>2101</v>
      </c>
    </row>
    <row r="16" spans="1:11" x14ac:dyDescent="0.25">
      <c r="A16" s="22" t="s">
        <v>1628</v>
      </c>
      <c r="B16" s="62" t="s">
        <v>2102</v>
      </c>
      <c r="C16" s="25" t="s">
        <v>2103</v>
      </c>
      <c r="D16" s="25" t="s">
        <v>2104</v>
      </c>
      <c r="E16" s="25" t="s">
        <v>2105</v>
      </c>
      <c r="F16" s="25" t="s">
        <v>2106</v>
      </c>
      <c r="G16" s="25" t="s">
        <v>2107</v>
      </c>
      <c r="H16" s="25" t="s">
        <v>2108</v>
      </c>
      <c r="I16" s="25" t="s">
        <v>2109</v>
      </c>
      <c r="J16" s="25" t="s">
        <v>2110</v>
      </c>
      <c r="K16" s="34" t="s">
        <v>2111</v>
      </c>
    </row>
    <row r="17" spans="1:11" x14ac:dyDescent="0.25">
      <c r="A17" s="22" t="s">
        <v>1639</v>
      </c>
      <c r="B17" s="62" t="s">
        <v>2112</v>
      </c>
      <c r="C17" s="25" t="s">
        <v>2113</v>
      </c>
      <c r="D17" s="25" t="s">
        <v>2114</v>
      </c>
      <c r="E17" s="25" t="s">
        <v>2115</v>
      </c>
      <c r="F17" s="25" t="s">
        <v>2116</v>
      </c>
      <c r="G17" s="25" t="s">
        <v>2117</v>
      </c>
      <c r="H17" s="25" t="s">
        <v>2118</v>
      </c>
      <c r="I17" s="25" t="s">
        <v>2119</v>
      </c>
      <c r="J17" s="25" t="s">
        <v>2120</v>
      </c>
      <c r="K17" s="34" t="s">
        <v>2121</v>
      </c>
    </row>
    <row r="18" spans="1:11" x14ac:dyDescent="0.25">
      <c r="A18" s="22" t="s">
        <v>1650</v>
      </c>
      <c r="B18" s="62" t="s">
        <v>2122</v>
      </c>
      <c r="C18" s="25" t="s">
        <v>2123</v>
      </c>
      <c r="D18" s="25" t="s">
        <v>2124</v>
      </c>
      <c r="E18" s="25" t="s">
        <v>2125</v>
      </c>
      <c r="F18" s="25" t="s">
        <v>2126</v>
      </c>
      <c r="G18" s="25" t="s">
        <v>2127</v>
      </c>
      <c r="H18" s="25" t="s">
        <v>2128</v>
      </c>
      <c r="I18" s="25" t="s">
        <v>2129</v>
      </c>
      <c r="J18" s="25" t="s">
        <v>2130</v>
      </c>
      <c r="K18" s="34" t="s">
        <v>2131</v>
      </c>
    </row>
    <row r="19" spans="1:11" x14ac:dyDescent="0.25">
      <c r="A19" s="22" t="s">
        <v>1661</v>
      </c>
      <c r="B19" s="62" t="s">
        <v>2132</v>
      </c>
      <c r="C19" s="25" t="s">
        <v>2133</v>
      </c>
      <c r="D19" s="25" t="s">
        <v>2134</v>
      </c>
      <c r="E19" s="25" t="s">
        <v>2135</v>
      </c>
      <c r="F19" s="25" t="s">
        <v>2136</v>
      </c>
      <c r="G19" s="25" t="s">
        <v>2137</v>
      </c>
      <c r="H19" s="25" t="s">
        <v>2138</v>
      </c>
      <c r="I19" s="25" t="s">
        <v>2139</v>
      </c>
      <c r="J19" s="25" t="s">
        <v>2140</v>
      </c>
      <c r="K19" s="34" t="s">
        <v>2141</v>
      </c>
    </row>
    <row r="20" spans="1:11" x14ac:dyDescent="0.25">
      <c r="A20" s="22" t="s">
        <v>1672</v>
      </c>
      <c r="B20" s="62" t="s">
        <v>2142</v>
      </c>
      <c r="C20" s="25" t="s">
        <v>2143</v>
      </c>
      <c r="D20" s="25" t="s">
        <v>1576</v>
      </c>
      <c r="E20" s="25" t="s">
        <v>2144</v>
      </c>
      <c r="F20" s="25" t="s">
        <v>2145</v>
      </c>
      <c r="G20" s="25" t="s">
        <v>2146</v>
      </c>
      <c r="H20" s="25" t="s">
        <v>2147</v>
      </c>
      <c r="I20" s="25" t="s">
        <v>2148</v>
      </c>
      <c r="J20" s="25" t="s">
        <v>2149</v>
      </c>
      <c r="K20" s="34" t="s">
        <v>2150</v>
      </c>
    </row>
    <row r="21" spans="1:11" x14ac:dyDescent="0.25">
      <c r="A21" s="22" t="s">
        <v>1683</v>
      </c>
      <c r="B21" s="62" t="s">
        <v>2151</v>
      </c>
      <c r="C21" s="25" t="s">
        <v>2152</v>
      </c>
      <c r="D21" s="25" t="s">
        <v>2153</v>
      </c>
      <c r="E21" s="25" t="s">
        <v>2154</v>
      </c>
      <c r="F21" s="25" t="s">
        <v>2155</v>
      </c>
      <c r="G21" s="25" t="s">
        <v>2156</v>
      </c>
      <c r="H21" s="25" t="s">
        <v>2157</v>
      </c>
      <c r="I21" s="25" t="s">
        <v>2158</v>
      </c>
      <c r="J21" s="25" t="s">
        <v>2159</v>
      </c>
      <c r="K21" s="34" t="s">
        <v>2160</v>
      </c>
    </row>
    <row r="22" spans="1:11" x14ac:dyDescent="0.25">
      <c r="A22" s="22" t="s">
        <v>1694</v>
      </c>
      <c r="B22" s="62" t="s">
        <v>2161</v>
      </c>
      <c r="C22" s="25" t="s">
        <v>2162</v>
      </c>
      <c r="D22" s="25" t="s">
        <v>2163</v>
      </c>
      <c r="E22" s="25" t="s">
        <v>2164</v>
      </c>
      <c r="F22" s="25" t="s">
        <v>2165</v>
      </c>
      <c r="G22" s="25" t="s">
        <v>2166</v>
      </c>
      <c r="H22" s="25" t="s">
        <v>2167</v>
      </c>
      <c r="I22" s="25" t="s">
        <v>2168</v>
      </c>
      <c r="J22" s="25" t="s">
        <v>2169</v>
      </c>
      <c r="K22" s="34" t="s">
        <v>2170</v>
      </c>
    </row>
    <row r="23" spans="1:11" x14ac:dyDescent="0.25">
      <c r="A23" s="22" t="s">
        <v>1705</v>
      </c>
      <c r="B23" s="62" t="s">
        <v>2171</v>
      </c>
      <c r="C23" s="25" t="s">
        <v>2172</v>
      </c>
      <c r="D23" s="25" t="s">
        <v>2173</v>
      </c>
      <c r="E23" s="25" t="s">
        <v>2174</v>
      </c>
      <c r="F23" s="25" t="s">
        <v>2175</v>
      </c>
      <c r="G23" s="25" t="s">
        <v>2176</v>
      </c>
      <c r="H23" s="25" t="s">
        <v>2177</v>
      </c>
      <c r="I23" s="25" t="s">
        <v>2178</v>
      </c>
      <c r="J23" s="25" t="s">
        <v>2179</v>
      </c>
      <c r="K23" s="34" t="s">
        <v>2180</v>
      </c>
    </row>
    <row r="24" spans="1:11" x14ac:dyDescent="0.25">
      <c r="A24" s="22" t="s">
        <v>1716</v>
      </c>
      <c r="B24" s="62" t="s">
        <v>2181</v>
      </c>
      <c r="C24" s="25" t="s">
        <v>2182</v>
      </c>
      <c r="D24" s="25" t="s">
        <v>2183</v>
      </c>
      <c r="E24" s="25" t="s">
        <v>2184</v>
      </c>
      <c r="F24" s="25" t="s">
        <v>2185</v>
      </c>
      <c r="G24" s="25" t="s">
        <v>2186</v>
      </c>
      <c r="H24" s="25" t="s">
        <v>2187</v>
      </c>
      <c r="I24" s="25" t="s">
        <v>2188</v>
      </c>
      <c r="J24" s="25" t="s">
        <v>2189</v>
      </c>
      <c r="K24" s="34" t="s">
        <v>2190</v>
      </c>
    </row>
    <row r="25" spans="1:11" x14ac:dyDescent="0.25">
      <c r="A25" s="26" t="s">
        <v>1727</v>
      </c>
      <c r="B25" s="79" t="s">
        <v>2191</v>
      </c>
      <c r="C25" s="68" t="s">
        <v>2192</v>
      </c>
      <c r="D25" s="68" t="s">
        <v>2193</v>
      </c>
      <c r="E25" s="68" t="s">
        <v>2194</v>
      </c>
      <c r="F25" s="68" t="s">
        <v>2195</v>
      </c>
      <c r="G25" s="68" t="s">
        <v>2196</v>
      </c>
      <c r="H25" s="68" t="s">
        <v>2197</v>
      </c>
      <c r="I25" s="68" t="s">
        <v>2198</v>
      </c>
      <c r="J25" s="68" t="s">
        <v>2199</v>
      </c>
      <c r="K25" s="77" t="s">
        <v>2200</v>
      </c>
    </row>
    <row r="26" spans="1:11" x14ac:dyDescent="0.25">
      <c r="A26" s="26" t="s">
        <v>1738</v>
      </c>
      <c r="B26" s="79" t="s">
        <v>2201</v>
      </c>
      <c r="C26" s="68" t="s">
        <v>2202</v>
      </c>
      <c r="D26" s="68" t="s">
        <v>2203</v>
      </c>
      <c r="E26" s="68" t="s">
        <v>2204</v>
      </c>
      <c r="F26" s="68" t="s">
        <v>2205</v>
      </c>
      <c r="G26" s="68" t="s">
        <v>2206</v>
      </c>
      <c r="H26" s="68" t="s">
        <v>2207</v>
      </c>
      <c r="I26" s="68" t="s">
        <v>2208</v>
      </c>
      <c r="J26" s="68" t="s">
        <v>2209</v>
      </c>
      <c r="K26" s="77" t="s">
        <v>2210</v>
      </c>
    </row>
    <row r="27" spans="1:11" x14ac:dyDescent="0.25">
      <c r="A27" s="26" t="s">
        <v>1749</v>
      </c>
      <c r="B27" s="79" t="s">
        <v>2211</v>
      </c>
      <c r="C27" s="68" t="s">
        <v>2212</v>
      </c>
      <c r="D27" s="68" t="s">
        <v>2213</v>
      </c>
      <c r="E27" s="68" t="s">
        <v>2214</v>
      </c>
      <c r="F27" s="68" t="s">
        <v>2215</v>
      </c>
      <c r="G27" s="68" t="s">
        <v>2216</v>
      </c>
      <c r="H27" s="68" t="s">
        <v>2217</v>
      </c>
      <c r="I27" s="68" t="s">
        <v>2218</v>
      </c>
      <c r="J27" s="68" t="s">
        <v>2219</v>
      </c>
      <c r="K27" s="77" t="s">
        <v>2220</v>
      </c>
    </row>
    <row r="28" spans="1:11" ht="15.75" thickBot="1" x14ac:dyDescent="0.3">
      <c r="A28" s="28" t="s">
        <v>1760</v>
      </c>
      <c r="B28" s="29" t="s">
        <v>2221</v>
      </c>
      <c r="C28" s="29" t="s">
        <v>2136</v>
      </c>
      <c r="D28" s="29" t="s">
        <v>2222</v>
      </c>
      <c r="E28" s="29" t="s">
        <v>2223</v>
      </c>
      <c r="F28" s="29" t="s">
        <v>2224</v>
      </c>
      <c r="G28" s="29" t="s">
        <v>2225</v>
      </c>
      <c r="H28" s="29" t="s">
        <v>2226</v>
      </c>
      <c r="I28" s="29" t="s">
        <v>2227</v>
      </c>
      <c r="J28" s="29" t="s">
        <v>2228</v>
      </c>
      <c r="K28" s="32" t="s">
        <v>2229</v>
      </c>
    </row>
  </sheetData>
  <mergeCells count="6">
    <mergeCell ref="H3:I3"/>
    <mergeCell ref="J3:K3"/>
    <mergeCell ref="B2:K2"/>
    <mergeCell ref="B3:C3"/>
    <mergeCell ref="D3:E3"/>
    <mergeCell ref="F3:G3"/>
  </mergeCells>
  <pageMargins left="0.25" right="0.25" top="0.75" bottom="0.75" header="0.3" footer="0.3"/>
  <pageSetup scale="69" orientation="landscape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405DE-9614-455C-9894-743E8C94F415}">
  <sheetPr>
    <pageSetUpPr fitToPage="1"/>
  </sheetPr>
  <dimension ref="A1:H27"/>
  <sheetViews>
    <sheetView workbookViewId="0">
      <pane xSplit="2" ySplit="3" topLeftCell="C4" activePane="bottomRight" state="frozen"/>
      <selection pane="topRight" activeCell="C1" sqref="C1"/>
      <selection pane="bottomLeft" activeCell="A3" sqref="A3"/>
      <selection pane="bottomRight" activeCell="B17" sqref="B17"/>
    </sheetView>
  </sheetViews>
  <sheetFormatPr defaultRowHeight="15" x14ac:dyDescent="0.25"/>
  <cols>
    <col min="1" max="1" width="13.85546875" customWidth="1"/>
    <col min="2" max="2" width="29.140625" customWidth="1"/>
    <col min="3" max="6" width="15.85546875" style="20" customWidth="1"/>
  </cols>
  <sheetData>
    <row r="1" spans="1:8" ht="30.6" customHeight="1" x14ac:dyDescent="0.25">
      <c r="A1" s="236" t="s">
        <v>7</v>
      </c>
      <c r="B1" s="236"/>
      <c r="C1" s="236"/>
      <c r="D1" s="236"/>
      <c r="E1" s="236"/>
      <c r="F1" s="236"/>
    </row>
    <row r="2" spans="1:8" x14ac:dyDescent="0.25">
      <c r="C2" s="190" t="s">
        <v>328</v>
      </c>
      <c r="D2" s="190"/>
      <c r="E2" s="190" t="s">
        <v>39</v>
      </c>
      <c r="F2" s="190"/>
      <c r="G2" s="19"/>
      <c r="H2" s="19"/>
    </row>
    <row r="3" spans="1:8" x14ac:dyDescent="0.25">
      <c r="A3" s="19" t="s">
        <v>329</v>
      </c>
      <c r="B3" s="19" t="s">
        <v>2230</v>
      </c>
      <c r="C3" s="123" t="s">
        <v>330</v>
      </c>
      <c r="D3" s="123" t="s">
        <v>331</v>
      </c>
      <c r="E3" s="123" t="s">
        <v>330</v>
      </c>
      <c r="F3" s="123" t="s">
        <v>331</v>
      </c>
    </row>
    <row r="4" spans="1:8" x14ac:dyDescent="0.25">
      <c r="A4" s="235" t="s">
        <v>2231</v>
      </c>
      <c r="B4" s="19" t="s">
        <v>332</v>
      </c>
      <c r="C4" s="20" t="s">
        <v>822</v>
      </c>
      <c r="D4" s="20" t="s">
        <v>2232</v>
      </c>
      <c r="E4" s="20" t="s">
        <v>339</v>
      </c>
      <c r="F4" s="20" t="s">
        <v>340</v>
      </c>
    </row>
    <row r="5" spans="1:8" x14ac:dyDescent="0.25">
      <c r="A5" s="235"/>
      <c r="B5" s="19" t="s">
        <v>341</v>
      </c>
      <c r="C5" s="20" t="s">
        <v>346</v>
      </c>
      <c r="D5" s="20" t="s">
        <v>347</v>
      </c>
      <c r="E5" s="20" t="s">
        <v>479</v>
      </c>
      <c r="F5" s="20" t="s">
        <v>349</v>
      </c>
    </row>
    <row r="6" spans="1:8" x14ac:dyDescent="0.25">
      <c r="A6" s="235"/>
      <c r="B6" s="19" t="s">
        <v>350</v>
      </c>
      <c r="C6" s="20" t="s">
        <v>2233</v>
      </c>
      <c r="D6" s="20" t="s">
        <v>2234</v>
      </c>
      <c r="E6" s="20" t="s">
        <v>2235</v>
      </c>
      <c r="F6" s="20" t="s">
        <v>2236</v>
      </c>
    </row>
    <row r="7" spans="1:8" x14ac:dyDescent="0.25">
      <c r="A7" s="235"/>
      <c r="B7" s="19" t="s">
        <v>361</v>
      </c>
      <c r="C7" s="20" t="s">
        <v>557</v>
      </c>
      <c r="D7" s="20" t="s">
        <v>2237</v>
      </c>
      <c r="E7" s="20" t="s">
        <v>2238</v>
      </c>
      <c r="F7" s="20" t="s">
        <v>2239</v>
      </c>
    </row>
    <row r="8" spans="1:8" x14ac:dyDescent="0.25">
      <c r="A8" s="235"/>
      <c r="B8" s="19" t="s">
        <v>372</v>
      </c>
      <c r="C8" s="20" t="s">
        <v>2240</v>
      </c>
      <c r="D8" s="20" t="s">
        <v>2241</v>
      </c>
      <c r="E8" s="20" t="s">
        <v>2242</v>
      </c>
      <c r="F8" s="20" t="s">
        <v>2243</v>
      </c>
    </row>
    <row r="9" spans="1:8" x14ac:dyDescent="0.25">
      <c r="A9" s="235"/>
      <c r="B9" s="19" t="s">
        <v>383</v>
      </c>
      <c r="C9" s="20" t="s">
        <v>2244</v>
      </c>
      <c r="D9" s="20" t="s">
        <v>2245</v>
      </c>
      <c r="E9" s="20" t="s">
        <v>578</v>
      </c>
      <c r="F9" s="20" t="s">
        <v>2246</v>
      </c>
    </row>
    <row r="10" spans="1:8" x14ac:dyDescent="0.25">
      <c r="A10" s="235"/>
      <c r="B10" s="19" t="s">
        <v>399</v>
      </c>
      <c r="C10" s="20" t="s">
        <v>2247</v>
      </c>
      <c r="D10" s="20" t="s">
        <v>590</v>
      </c>
      <c r="E10" s="20" t="s">
        <v>2248</v>
      </c>
      <c r="F10" s="20" t="s">
        <v>2249</v>
      </c>
    </row>
    <row r="11" spans="1:8" x14ac:dyDescent="0.25">
      <c r="A11" s="235"/>
      <c r="B11" s="19" t="s">
        <v>410</v>
      </c>
      <c r="C11" s="20" t="s">
        <v>2250</v>
      </c>
      <c r="D11" s="20" t="s">
        <v>2251</v>
      </c>
      <c r="E11" s="20" t="s">
        <v>419</v>
      </c>
      <c r="F11" s="20" t="s">
        <v>2251</v>
      </c>
    </row>
    <row r="12" spans="1:8" x14ac:dyDescent="0.25">
      <c r="A12" s="235" t="s">
        <v>2252</v>
      </c>
      <c r="B12" s="19" t="s">
        <v>420</v>
      </c>
      <c r="C12" s="20" t="s">
        <v>606</v>
      </c>
      <c r="D12" s="20" t="s">
        <v>2253</v>
      </c>
      <c r="E12" s="20" t="s">
        <v>608</v>
      </c>
      <c r="F12" s="20" t="s">
        <v>2254</v>
      </c>
    </row>
    <row r="13" spans="1:8" x14ac:dyDescent="0.25">
      <c r="A13" s="235"/>
      <c r="B13" s="19" t="s">
        <v>431</v>
      </c>
      <c r="C13" s="20" t="s">
        <v>436</v>
      </c>
      <c r="D13" s="20" t="s">
        <v>498</v>
      </c>
      <c r="E13" s="20" t="s">
        <v>438</v>
      </c>
      <c r="F13" s="20" t="s">
        <v>439</v>
      </c>
    </row>
    <row r="14" spans="1:8" x14ac:dyDescent="0.25">
      <c r="A14" s="235"/>
      <c r="B14" s="19" t="s">
        <v>440</v>
      </c>
      <c r="C14" s="20" t="s">
        <v>2255</v>
      </c>
      <c r="D14" s="20" t="s">
        <v>788</v>
      </c>
      <c r="E14" s="20" t="s">
        <v>2256</v>
      </c>
      <c r="F14" s="20" t="s">
        <v>767</v>
      </c>
    </row>
    <row r="15" spans="1:8" x14ac:dyDescent="0.25">
      <c r="A15" s="235"/>
      <c r="B15" s="19" t="s">
        <v>451</v>
      </c>
      <c r="C15" s="20" t="s">
        <v>2257</v>
      </c>
      <c r="D15" s="20" t="s">
        <v>2258</v>
      </c>
      <c r="E15" s="20" t="s">
        <v>2259</v>
      </c>
      <c r="F15" s="20" t="s">
        <v>2260</v>
      </c>
    </row>
    <row r="16" spans="1:8" ht="14.45" customHeight="1" x14ac:dyDescent="0.25">
      <c r="A16" s="235" t="s">
        <v>2261</v>
      </c>
      <c r="B16" s="19" t="s">
        <v>460</v>
      </c>
      <c r="C16" s="20" t="s">
        <v>2262</v>
      </c>
      <c r="D16" s="20" t="s">
        <v>463</v>
      </c>
      <c r="E16" s="20" t="s">
        <v>466</v>
      </c>
      <c r="F16" s="20" t="s">
        <v>414</v>
      </c>
    </row>
    <row r="17" spans="1:6" x14ac:dyDescent="0.25">
      <c r="A17" s="235"/>
      <c r="B17" s="65" t="s">
        <v>3079</v>
      </c>
      <c r="C17" s="20" t="s">
        <v>586</v>
      </c>
      <c r="D17" s="20" t="s">
        <v>472</v>
      </c>
      <c r="E17" s="20" t="s">
        <v>473</v>
      </c>
      <c r="F17" s="20" t="s">
        <v>474</v>
      </c>
    </row>
    <row r="18" spans="1:6" x14ac:dyDescent="0.25">
      <c r="A18" s="235"/>
      <c r="B18" s="19" t="s">
        <v>475</v>
      </c>
      <c r="C18" s="20" t="s">
        <v>631</v>
      </c>
      <c r="D18" s="20" t="s">
        <v>631</v>
      </c>
      <c r="E18" s="20" t="s">
        <v>345</v>
      </c>
      <c r="F18" s="20" t="s">
        <v>781</v>
      </c>
    </row>
    <row r="19" spans="1:6" x14ac:dyDescent="0.25">
      <c r="A19" s="235"/>
      <c r="B19" s="19" t="s">
        <v>481</v>
      </c>
      <c r="C19" s="20" t="s">
        <v>488</v>
      </c>
      <c r="D19" s="20" t="s">
        <v>489</v>
      </c>
      <c r="E19" s="20" t="s">
        <v>490</v>
      </c>
      <c r="F19" s="20" t="s">
        <v>2263</v>
      </c>
    </row>
    <row r="20" spans="1:6" x14ac:dyDescent="0.25">
      <c r="A20" s="235"/>
      <c r="B20" s="19" t="s">
        <v>492</v>
      </c>
      <c r="C20" s="20" t="s">
        <v>2264</v>
      </c>
      <c r="D20" s="20" t="s">
        <v>642</v>
      </c>
      <c r="E20" s="20" t="s">
        <v>499</v>
      </c>
      <c r="F20" s="20" t="s">
        <v>500</v>
      </c>
    </row>
    <row r="21" spans="1:6" x14ac:dyDescent="0.25">
      <c r="A21" s="235"/>
      <c r="B21" s="19" t="s">
        <v>504</v>
      </c>
      <c r="C21" s="20" t="s">
        <v>611</v>
      </c>
      <c r="D21" s="20" t="s">
        <v>617</v>
      </c>
      <c r="E21" s="20" t="s">
        <v>636</v>
      </c>
      <c r="F21" s="20" t="s">
        <v>636</v>
      </c>
    </row>
    <row r="22" spans="1:6" x14ac:dyDescent="0.25">
      <c r="B22" t="s">
        <v>532</v>
      </c>
      <c r="C22" s="20">
        <v>25</v>
      </c>
      <c r="D22" s="20">
        <v>25</v>
      </c>
      <c r="E22" s="20">
        <v>25</v>
      </c>
      <c r="F22" s="20">
        <v>25</v>
      </c>
    </row>
    <row r="23" spans="1:6" x14ac:dyDescent="0.25">
      <c r="B23" t="s">
        <v>533</v>
      </c>
      <c r="C23" s="21">
        <v>1839829</v>
      </c>
      <c r="D23" s="21">
        <v>1442093</v>
      </c>
      <c r="E23" s="21">
        <v>1839829</v>
      </c>
      <c r="F23" s="21">
        <v>1442093</v>
      </c>
    </row>
    <row r="24" spans="1:6" x14ac:dyDescent="0.25">
      <c r="B24" t="s">
        <v>534</v>
      </c>
      <c r="C24" s="20">
        <v>15753</v>
      </c>
      <c r="D24" s="20">
        <v>20227</v>
      </c>
      <c r="E24" s="20">
        <v>17472</v>
      </c>
      <c r="F24" s="20">
        <v>15688</v>
      </c>
    </row>
    <row r="25" spans="1:6" x14ac:dyDescent="0.25">
      <c r="A25" t="s">
        <v>829</v>
      </c>
    </row>
    <row r="27" spans="1:6" x14ac:dyDescent="0.25">
      <c r="A27" s="18"/>
    </row>
  </sheetData>
  <mergeCells count="6">
    <mergeCell ref="A16:A21"/>
    <mergeCell ref="A1:F1"/>
    <mergeCell ref="C2:D2"/>
    <mergeCell ref="E2:F2"/>
    <mergeCell ref="A12:A15"/>
    <mergeCell ref="A4:A11"/>
  </mergeCells>
  <pageMargins left="0.25" right="0.25" top="0.75" bottom="0.75" header="0.3" footer="0.3"/>
  <pageSetup orientation="landscape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624A9-8C81-44C2-93DE-DF2E57BEF7F8}">
  <sheetPr>
    <pageSetUpPr fitToPage="1"/>
  </sheetPr>
  <dimension ref="A1:J35"/>
  <sheetViews>
    <sheetView workbookViewId="0">
      <pane xSplit="1" ySplit="3" topLeftCell="B4" activePane="bottomRight" state="frozen"/>
      <selection pane="topRight" activeCell="B1" sqref="B1"/>
      <selection pane="bottomLeft" activeCell="A3" sqref="A3"/>
      <selection pane="bottomRight" activeCell="I24" sqref="I24"/>
    </sheetView>
  </sheetViews>
  <sheetFormatPr defaultRowHeight="15" x14ac:dyDescent="0.25"/>
  <cols>
    <col min="1" max="1" width="37.140625" customWidth="1"/>
    <col min="2" max="4" width="15.85546875" style="20" customWidth="1"/>
    <col min="5" max="6" width="15.85546875" customWidth="1"/>
    <col min="7" max="10" width="15.85546875" style="20" customWidth="1"/>
  </cols>
  <sheetData>
    <row r="1" spans="1:10" ht="29.1" customHeight="1" x14ac:dyDescent="0.25">
      <c r="A1" s="236" t="s">
        <v>2265</v>
      </c>
      <c r="B1" s="236"/>
      <c r="C1" s="236"/>
      <c r="D1" s="236"/>
      <c r="E1" s="236"/>
    </row>
    <row r="2" spans="1:10" x14ac:dyDescent="0.25">
      <c r="B2" s="190" t="s">
        <v>328</v>
      </c>
      <c r="C2" s="190"/>
      <c r="D2" s="190" t="s">
        <v>39</v>
      </c>
      <c r="E2" s="190"/>
      <c r="G2" s="19"/>
      <c r="H2" s="19"/>
      <c r="I2"/>
      <c r="J2"/>
    </row>
    <row r="3" spans="1:10" x14ac:dyDescent="0.25">
      <c r="A3" s="19" t="s">
        <v>329</v>
      </c>
      <c r="B3" s="123" t="s">
        <v>330</v>
      </c>
      <c r="C3" s="123" t="s">
        <v>331</v>
      </c>
      <c r="D3" s="123" t="s">
        <v>330</v>
      </c>
      <c r="E3" s="123" t="s">
        <v>331</v>
      </c>
      <c r="G3"/>
      <c r="H3"/>
      <c r="I3"/>
      <c r="J3"/>
    </row>
    <row r="4" spans="1:10" x14ac:dyDescent="0.25">
      <c r="A4" s="19" t="s">
        <v>332</v>
      </c>
      <c r="B4" s="20" t="s">
        <v>2266</v>
      </c>
      <c r="C4" s="20" t="s">
        <v>2267</v>
      </c>
      <c r="D4" s="20" t="s">
        <v>2268</v>
      </c>
      <c r="E4" s="20" t="s">
        <v>2269</v>
      </c>
      <c r="G4"/>
      <c r="H4"/>
      <c r="I4"/>
      <c r="J4"/>
    </row>
    <row r="5" spans="1:10" x14ac:dyDescent="0.25">
      <c r="A5" s="19" t="s">
        <v>341</v>
      </c>
      <c r="B5" s="20" t="s">
        <v>489</v>
      </c>
      <c r="C5" s="20" t="s">
        <v>347</v>
      </c>
      <c r="D5" s="20" t="s">
        <v>343</v>
      </c>
      <c r="E5" s="20" t="s">
        <v>349</v>
      </c>
      <c r="G5"/>
      <c r="H5"/>
      <c r="I5"/>
      <c r="J5"/>
    </row>
    <row r="6" spans="1:10" x14ac:dyDescent="0.25">
      <c r="A6" s="19" t="s">
        <v>350</v>
      </c>
      <c r="B6" s="20" t="s">
        <v>2270</v>
      </c>
      <c r="C6" s="20" t="s">
        <v>2271</v>
      </c>
      <c r="D6" s="20" t="s">
        <v>2272</v>
      </c>
      <c r="E6" s="20" t="s">
        <v>2273</v>
      </c>
      <c r="G6"/>
      <c r="H6"/>
      <c r="I6"/>
      <c r="J6"/>
    </row>
    <row r="7" spans="1:10" x14ac:dyDescent="0.25">
      <c r="A7" s="19" t="s">
        <v>361</v>
      </c>
      <c r="B7" s="20" t="s">
        <v>2274</v>
      </c>
      <c r="C7" s="20" t="s">
        <v>2275</v>
      </c>
      <c r="D7" s="20" t="s">
        <v>2276</v>
      </c>
      <c r="E7" s="20" t="s">
        <v>2277</v>
      </c>
      <c r="G7"/>
      <c r="H7"/>
      <c r="I7"/>
      <c r="J7"/>
    </row>
    <row r="8" spans="1:10" x14ac:dyDescent="0.25">
      <c r="A8" s="19" t="s">
        <v>372</v>
      </c>
      <c r="B8" s="20" t="s">
        <v>2278</v>
      </c>
      <c r="C8" s="20" t="s">
        <v>2279</v>
      </c>
      <c r="D8" s="20" t="s">
        <v>2280</v>
      </c>
      <c r="E8" s="20" t="s">
        <v>2281</v>
      </c>
      <c r="G8"/>
      <c r="H8"/>
      <c r="I8"/>
      <c r="J8"/>
    </row>
    <row r="9" spans="1:10" x14ac:dyDescent="0.25">
      <c r="A9" s="19" t="s">
        <v>383</v>
      </c>
      <c r="B9" s="20" t="s">
        <v>2282</v>
      </c>
      <c r="C9" s="20" t="s">
        <v>722</v>
      </c>
      <c r="D9" s="20" t="s">
        <v>2283</v>
      </c>
      <c r="E9" s="20" t="s">
        <v>2284</v>
      </c>
      <c r="G9"/>
      <c r="H9"/>
      <c r="I9"/>
      <c r="J9"/>
    </row>
    <row r="10" spans="1:10" x14ac:dyDescent="0.25">
      <c r="A10" s="19" t="s">
        <v>399</v>
      </c>
      <c r="B10" s="20" t="s">
        <v>2285</v>
      </c>
      <c r="C10" s="20" t="s">
        <v>700</v>
      </c>
      <c r="D10" s="20" t="s">
        <v>2286</v>
      </c>
      <c r="E10" s="20" t="s">
        <v>2287</v>
      </c>
      <c r="G10"/>
      <c r="H10"/>
      <c r="I10"/>
      <c r="J10"/>
    </row>
    <row r="11" spans="1:10" x14ac:dyDescent="0.25">
      <c r="A11" s="19" t="s">
        <v>410</v>
      </c>
      <c r="B11" s="20" t="s">
        <v>2288</v>
      </c>
      <c r="C11" s="20" t="s">
        <v>738</v>
      </c>
      <c r="D11" s="20" t="s">
        <v>740</v>
      </c>
      <c r="E11" s="20" t="s">
        <v>2251</v>
      </c>
      <c r="G11"/>
      <c r="H11"/>
      <c r="I11"/>
      <c r="J11"/>
    </row>
    <row r="12" spans="1:10" x14ac:dyDescent="0.25">
      <c r="A12" s="19" t="s">
        <v>420</v>
      </c>
      <c r="B12" s="20" t="s">
        <v>2289</v>
      </c>
      <c r="C12" s="20" t="s">
        <v>2290</v>
      </c>
      <c r="D12" s="20" t="s">
        <v>2291</v>
      </c>
      <c r="E12" s="20" t="s">
        <v>2292</v>
      </c>
      <c r="G12"/>
      <c r="H12"/>
      <c r="I12"/>
      <c r="J12"/>
    </row>
    <row r="13" spans="1:10" x14ac:dyDescent="0.25">
      <c r="A13" s="19" t="s">
        <v>431</v>
      </c>
      <c r="B13" s="20" t="s">
        <v>500</v>
      </c>
      <c r="C13" s="20" t="s">
        <v>756</v>
      </c>
      <c r="D13" s="20" t="s">
        <v>756</v>
      </c>
      <c r="E13" s="20" t="s">
        <v>2293</v>
      </c>
      <c r="G13"/>
      <c r="H13"/>
      <c r="I13"/>
      <c r="J13"/>
    </row>
    <row r="14" spans="1:10" x14ac:dyDescent="0.25">
      <c r="A14" s="19" t="s">
        <v>440</v>
      </c>
      <c r="B14" s="20" t="s">
        <v>791</v>
      </c>
      <c r="C14" s="20" t="s">
        <v>2294</v>
      </c>
      <c r="D14" s="20" t="s">
        <v>674</v>
      </c>
      <c r="E14" s="20" t="s">
        <v>450</v>
      </c>
      <c r="G14"/>
      <c r="H14"/>
      <c r="I14"/>
      <c r="J14"/>
    </row>
    <row r="15" spans="1:10" x14ac:dyDescent="0.25">
      <c r="A15" s="19" t="s">
        <v>451</v>
      </c>
      <c r="B15" s="20" t="s">
        <v>2258</v>
      </c>
      <c r="C15" s="20" t="s">
        <v>2295</v>
      </c>
      <c r="D15" s="20" t="s">
        <v>2296</v>
      </c>
      <c r="E15" s="20" t="s">
        <v>2297</v>
      </c>
      <c r="G15"/>
      <c r="H15"/>
      <c r="I15"/>
      <c r="J15"/>
    </row>
    <row r="16" spans="1:10" x14ac:dyDescent="0.25">
      <c r="A16" s="19" t="s">
        <v>460</v>
      </c>
      <c r="B16" s="20" t="s">
        <v>465</v>
      </c>
      <c r="C16" s="20" t="s">
        <v>627</v>
      </c>
      <c r="D16" s="20" t="s">
        <v>466</v>
      </c>
      <c r="E16" s="20" t="s">
        <v>594</v>
      </c>
      <c r="G16"/>
      <c r="H16"/>
      <c r="I16"/>
      <c r="J16"/>
    </row>
    <row r="17" spans="1:10" x14ac:dyDescent="0.25">
      <c r="A17" s="65" t="s">
        <v>3079</v>
      </c>
      <c r="B17" s="20" t="s">
        <v>586</v>
      </c>
      <c r="C17" s="20" t="s">
        <v>778</v>
      </c>
      <c r="D17" s="20" t="s">
        <v>779</v>
      </c>
      <c r="E17" s="20" t="s">
        <v>2298</v>
      </c>
      <c r="G17"/>
      <c r="H17"/>
      <c r="I17"/>
      <c r="J17"/>
    </row>
    <row r="18" spans="1:10" x14ac:dyDescent="0.25">
      <c r="A18" s="19" t="s">
        <v>475</v>
      </c>
      <c r="B18" s="20" t="s">
        <v>777</v>
      </c>
      <c r="C18" s="20" t="s">
        <v>777</v>
      </c>
      <c r="D18" s="20" t="s">
        <v>479</v>
      </c>
      <c r="E18" s="20" t="s">
        <v>480</v>
      </c>
      <c r="G18"/>
      <c r="H18"/>
      <c r="I18"/>
      <c r="J18"/>
    </row>
    <row r="19" spans="1:10" x14ac:dyDescent="0.25">
      <c r="A19" s="19" t="s">
        <v>481</v>
      </c>
      <c r="B19" s="20" t="s">
        <v>2299</v>
      </c>
      <c r="C19" s="20" t="s">
        <v>646</v>
      </c>
      <c r="D19" s="20" t="s">
        <v>2300</v>
      </c>
      <c r="E19" s="20" t="s">
        <v>2301</v>
      </c>
      <c r="G19"/>
      <c r="H19"/>
      <c r="I19"/>
      <c r="J19"/>
    </row>
    <row r="20" spans="1:10" x14ac:dyDescent="0.25">
      <c r="A20" s="19" t="s">
        <v>492</v>
      </c>
      <c r="B20" s="20" t="s">
        <v>2302</v>
      </c>
      <c r="C20" s="20" t="s">
        <v>499</v>
      </c>
      <c r="D20" s="20" t="s">
        <v>638</v>
      </c>
      <c r="E20" s="20" t="s">
        <v>795</v>
      </c>
      <c r="G20"/>
      <c r="H20"/>
      <c r="I20"/>
      <c r="J20"/>
    </row>
    <row r="21" spans="1:10" x14ac:dyDescent="0.25">
      <c r="A21" s="19" t="s">
        <v>504</v>
      </c>
      <c r="B21" s="20" t="s">
        <v>505</v>
      </c>
      <c r="C21" s="20" t="s">
        <v>2303</v>
      </c>
      <c r="D21" s="20" t="s">
        <v>2304</v>
      </c>
      <c r="E21" s="20" t="s">
        <v>611</v>
      </c>
      <c r="G21"/>
      <c r="H21"/>
      <c r="I21"/>
      <c r="J21"/>
    </row>
    <row r="22" spans="1:10" x14ac:dyDescent="0.25">
      <c r="A22" s="19" t="s">
        <v>798</v>
      </c>
      <c r="B22" s="20" t="s">
        <v>2305</v>
      </c>
      <c r="C22" s="20" t="s">
        <v>2306</v>
      </c>
      <c r="D22" s="20" t="s">
        <v>2307</v>
      </c>
      <c r="E22" s="20" t="s">
        <v>2308</v>
      </c>
      <c r="G22"/>
      <c r="H22"/>
      <c r="I22"/>
      <c r="J22"/>
    </row>
    <row r="23" spans="1:10" x14ac:dyDescent="0.25">
      <c r="A23" s="19" t="s">
        <v>808</v>
      </c>
      <c r="B23" s="20" t="s">
        <v>2309</v>
      </c>
      <c r="C23" s="20" t="s">
        <v>809</v>
      </c>
      <c r="D23" s="20" t="s">
        <v>2310</v>
      </c>
      <c r="E23" s="20" t="s">
        <v>2311</v>
      </c>
      <c r="G23"/>
      <c r="H23"/>
      <c r="I23"/>
      <c r="J23"/>
    </row>
    <row r="24" spans="1:10" x14ac:dyDescent="0.25">
      <c r="A24" s="19" t="s">
        <v>819</v>
      </c>
      <c r="B24" s="20" t="s">
        <v>2312</v>
      </c>
      <c r="C24" s="20" t="s">
        <v>622</v>
      </c>
      <c r="D24" s="20" t="s">
        <v>799</v>
      </c>
      <c r="E24" s="20" t="s">
        <v>2313</v>
      </c>
      <c r="G24"/>
      <c r="H24"/>
      <c r="I24"/>
      <c r="J24"/>
    </row>
    <row r="25" spans="1:10" x14ac:dyDescent="0.25">
      <c r="A25" s="19" t="s">
        <v>511</v>
      </c>
      <c r="B25" s="20" t="s">
        <v>2314</v>
      </c>
      <c r="C25" s="20" t="s">
        <v>662</v>
      </c>
      <c r="D25" s="20" t="s">
        <v>2315</v>
      </c>
      <c r="E25" s="20" t="s">
        <v>515</v>
      </c>
      <c r="G25"/>
      <c r="I25"/>
      <c r="J25"/>
    </row>
    <row r="26" spans="1:10" x14ac:dyDescent="0.25">
      <c r="A26" s="19" t="s">
        <v>522</v>
      </c>
      <c r="B26" s="20" t="s">
        <v>2250</v>
      </c>
      <c r="C26" s="20" t="s">
        <v>457</v>
      </c>
      <c r="D26" s="20" t="s">
        <v>2316</v>
      </c>
      <c r="E26" s="20" t="s">
        <v>2317</v>
      </c>
      <c r="G26"/>
      <c r="I26"/>
      <c r="J26"/>
    </row>
    <row r="27" spans="1:10" x14ac:dyDescent="0.25">
      <c r="A27" s="19" t="s">
        <v>649</v>
      </c>
      <c r="B27" s="20" t="s">
        <v>2318</v>
      </c>
      <c r="C27" s="20" t="s">
        <v>2319</v>
      </c>
      <c r="D27" s="20" t="s">
        <v>2320</v>
      </c>
      <c r="E27" s="20" t="s">
        <v>2321</v>
      </c>
      <c r="G27"/>
      <c r="I27"/>
      <c r="J27"/>
    </row>
    <row r="28" spans="1:10" x14ac:dyDescent="0.25">
      <c r="A28" s="19" t="s">
        <v>659</v>
      </c>
      <c r="B28" s="20" t="s">
        <v>514</v>
      </c>
      <c r="C28" s="20" t="s">
        <v>2322</v>
      </c>
      <c r="D28" s="20" t="s">
        <v>2323</v>
      </c>
      <c r="E28" s="20" t="s">
        <v>2324</v>
      </c>
      <c r="G28"/>
      <c r="H28"/>
      <c r="I28"/>
      <c r="J28"/>
    </row>
    <row r="29" spans="1:10" x14ac:dyDescent="0.25">
      <c r="A29" s="19" t="s">
        <v>670</v>
      </c>
      <c r="B29" s="20" t="s">
        <v>2325</v>
      </c>
      <c r="C29" s="20" t="s">
        <v>523</v>
      </c>
      <c r="D29" s="20" t="s">
        <v>2326</v>
      </c>
      <c r="E29" s="20" t="s">
        <v>2327</v>
      </c>
      <c r="G29"/>
      <c r="H29"/>
      <c r="I29"/>
      <c r="J29"/>
    </row>
    <row r="30" spans="1:10" x14ac:dyDescent="0.25">
      <c r="A30" t="s">
        <v>532</v>
      </c>
      <c r="B30" s="20">
        <v>18</v>
      </c>
      <c r="C30" s="20">
        <v>18</v>
      </c>
      <c r="D30" s="20">
        <v>18</v>
      </c>
      <c r="E30" s="20">
        <v>18</v>
      </c>
      <c r="G30"/>
      <c r="H30"/>
      <c r="I30"/>
      <c r="J30"/>
    </row>
    <row r="31" spans="1:10" x14ac:dyDescent="0.25">
      <c r="A31" t="s">
        <v>533</v>
      </c>
      <c r="B31" s="20">
        <v>1336793</v>
      </c>
      <c r="C31" s="20">
        <v>999290</v>
      </c>
      <c r="D31" s="20">
        <v>1336793</v>
      </c>
      <c r="E31" s="20">
        <v>999290</v>
      </c>
      <c r="G31"/>
      <c r="H31"/>
      <c r="I31"/>
      <c r="J31"/>
    </row>
    <row r="32" spans="1:10" x14ac:dyDescent="0.25">
      <c r="A32" t="s">
        <v>534</v>
      </c>
      <c r="B32" s="20">
        <v>13241</v>
      </c>
      <c r="C32" s="20">
        <v>15202</v>
      </c>
      <c r="D32" s="20">
        <v>12025</v>
      </c>
      <c r="E32" s="20">
        <v>14431</v>
      </c>
      <c r="G32"/>
      <c r="H32"/>
      <c r="I32"/>
      <c r="J32"/>
    </row>
    <row r="33" spans="1:5" ht="30" customHeight="1" x14ac:dyDescent="0.25">
      <c r="A33" s="237" t="s">
        <v>3160</v>
      </c>
      <c r="B33" s="237"/>
      <c r="C33" s="237"/>
      <c r="D33" s="237"/>
      <c r="E33" s="237"/>
    </row>
    <row r="35" spans="1:5" x14ac:dyDescent="0.25">
      <c r="A35" s="18"/>
    </row>
  </sheetData>
  <mergeCells count="4">
    <mergeCell ref="B2:C2"/>
    <mergeCell ref="D2:E2"/>
    <mergeCell ref="A1:E1"/>
    <mergeCell ref="A33:E33"/>
  </mergeCells>
  <pageMargins left="0.25" right="0.25" top="0.75" bottom="0.75" header="0.3" footer="0.3"/>
  <pageSetup orientation="landscape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7A4A8-F7F5-440E-9AE5-EE20F3B31D08}">
  <sheetPr>
    <pageSetUpPr fitToPage="1"/>
  </sheetPr>
  <dimension ref="A1:G42"/>
  <sheetViews>
    <sheetView zoomScale="96" workbookViewId="0">
      <pane xSplit="1" ySplit="3" topLeftCell="B4" activePane="bottomRight" state="frozen"/>
      <selection pane="topRight" activeCell="B1" sqref="B1"/>
      <selection pane="bottomLeft" activeCell="A5" sqref="A5"/>
      <selection pane="bottomRight" activeCell="A42" sqref="A42:E42"/>
    </sheetView>
  </sheetViews>
  <sheetFormatPr defaultRowHeight="15" x14ac:dyDescent="0.25"/>
  <cols>
    <col min="1" max="1" width="40" customWidth="1"/>
    <col min="2" max="5" width="20.85546875" style="20" customWidth="1"/>
    <col min="6" max="6" width="18.85546875" style="1" customWidth="1"/>
    <col min="7" max="11" width="18.85546875" customWidth="1"/>
  </cols>
  <sheetData>
    <row r="1" spans="1:6" ht="28.5" customHeight="1" thickBot="1" x14ac:dyDescent="0.3">
      <c r="A1" s="238" t="s">
        <v>9</v>
      </c>
      <c r="B1" s="238"/>
      <c r="C1" s="238"/>
      <c r="D1" s="238"/>
      <c r="E1" s="238"/>
    </row>
    <row r="2" spans="1:6" x14ac:dyDescent="0.25">
      <c r="A2" s="60"/>
      <c r="B2" s="199" t="s">
        <v>328</v>
      </c>
      <c r="C2" s="200"/>
      <c r="D2" s="199" t="s">
        <v>39</v>
      </c>
      <c r="E2" s="200"/>
    </row>
    <row r="3" spans="1:6" ht="15.75" thickBot="1" x14ac:dyDescent="0.3">
      <c r="A3" s="61"/>
      <c r="B3" s="75" t="s">
        <v>330</v>
      </c>
      <c r="C3" s="75" t="s">
        <v>331</v>
      </c>
      <c r="D3" s="75" t="s">
        <v>330</v>
      </c>
      <c r="E3" s="76" t="s">
        <v>331</v>
      </c>
      <c r="F3" s="45"/>
    </row>
    <row r="4" spans="1:6" x14ac:dyDescent="0.25">
      <c r="A4" s="201" t="s">
        <v>831</v>
      </c>
      <c r="B4" s="202"/>
      <c r="C4" s="202"/>
      <c r="D4" s="202"/>
      <c r="E4" s="203"/>
    </row>
    <row r="5" spans="1:6" x14ac:dyDescent="0.25">
      <c r="A5" s="50" t="s">
        <v>532</v>
      </c>
      <c r="B5" s="23">
        <v>21</v>
      </c>
      <c r="C5" s="23">
        <v>21</v>
      </c>
      <c r="D5" s="23">
        <v>21</v>
      </c>
      <c r="E5" s="24">
        <v>21</v>
      </c>
    </row>
    <row r="6" spans="1:6" x14ac:dyDescent="0.25">
      <c r="A6" s="48" t="s">
        <v>533</v>
      </c>
      <c r="B6" s="23">
        <v>1894882</v>
      </c>
      <c r="C6" s="23">
        <v>1435203</v>
      </c>
      <c r="D6" s="23">
        <v>1894882</v>
      </c>
      <c r="E6" s="24">
        <v>1435203</v>
      </c>
    </row>
    <row r="7" spans="1:6" x14ac:dyDescent="0.25">
      <c r="A7" s="48" t="s">
        <v>534</v>
      </c>
      <c r="B7" s="23">
        <v>15474</v>
      </c>
      <c r="C7" s="23">
        <v>18112</v>
      </c>
      <c r="D7" s="23">
        <v>17551</v>
      </c>
      <c r="E7" s="24">
        <v>14798</v>
      </c>
    </row>
    <row r="8" spans="1:6" x14ac:dyDescent="0.25">
      <c r="A8" s="194" t="s">
        <v>832</v>
      </c>
      <c r="B8" s="195"/>
      <c r="C8" s="195"/>
      <c r="D8" s="195"/>
      <c r="E8" s="196"/>
    </row>
    <row r="9" spans="1:6" s="47" customFormat="1" x14ac:dyDescent="0.25">
      <c r="A9" s="53" t="s">
        <v>833</v>
      </c>
      <c r="B9" s="25" t="s">
        <v>2328</v>
      </c>
      <c r="C9" s="25" t="s">
        <v>2329</v>
      </c>
      <c r="D9" s="25" t="s">
        <v>2330</v>
      </c>
      <c r="E9" s="34" t="s">
        <v>2331</v>
      </c>
      <c r="F9" s="46"/>
    </row>
    <row r="10" spans="1:6" x14ac:dyDescent="0.25">
      <c r="A10" s="48" t="s">
        <v>844</v>
      </c>
      <c r="B10" s="23" t="s">
        <v>2332</v>
      </c>
      <c r="C10" s="23" t="s">
        <v>2333</v>
      </c>
      <c r="D10" s="23" t="s">
        <v>2334</v>
      </c>
      <c r="E10" s="24" t="s">
        <v>2335</v>
      </c>
    </row>
    <row r="11" spans="1:6" x14ac:dyDescent="0.25">
      <c r="A11" s="194" t="s">
        <v>855</v>
      </c>
      <c r="B11" s="195"/>
      <c r="C11" s="195"/>
      <c r="D11" s="195"/>
      <c r="E11" s="196"/>
    </row>
    <row r="12" spans="1:6" s="47" customFormat="1" x14ac:dyDescent="0.25">
      <c r="A12" s="53" t="s">
        <v>833</v>
      </c>
      <c r="B12" s="25" t="s">
        <v>2336</v>
      </c>
      <c r="C12" s="25" t="s">
        <v>2337</v>
      </c>
      <c r="D12" s="25" t="s">
        <v>2338</v>
      </c>
      <c r="E12" s="34" t="s">
        <v>2339</v>
      </c>
      <c r="F12" s="46"/>
    </row>
    <row r="13" spans="1:6" x14ac:dyDescent="0.25">
      <c r="A13" s="48" t="s">
        <v>866</v>
      </c>
      <c r="B13" s="23" t="s">
        <v>869</v>
      </c>
      <c r="C13" s="23" t="s">
        <v>867</v>
      </c>
      <c r="D13" s="23" t="s">
        <v>869</v>
      </c>
      <c r="E13" s="24" t="s">
        <v>870</v>
      </c>
    </row>
    <row r="14" spans="1:6" x14ac:dyDescent="0.25">
      <c r="A14" s="48" t="s">
        <v>874</v>
      </c>
      <c r="B14" s="23" t="s">
        <v>2340</v>
      </c>
      <c r="C14" s="23" t="s">
        <v>2341</v>
      </c>
      <c r="D14" s="23" t="s">
        <v>2342</v>
      </c>
      <c r="E14" s="24" t="s">
        <v>2343</v>
      </c>
    </row>
    <row r="15" spans="1:6" s="33" customFormat="1" ht="15.75" thickBot="1" x14ac:dyDescent="0.3">
      <c r="A15" s="51" t="s">
        <v>844</v>
      </c>
      <c r="B15" s="29" t="s">
        <v>2344</v>
      </c>
      <c r="C15" s="29" t="s">
        <v>2345</v>
      </c>
      <c r="D15" s="29" t="s">
        <v>2346</v>
      </c>
      <c r="E15" s="32" t="s">
        <v>2347</v>
      </c>
    </row>
    <row r="16" spans="1:6" s="33" customFormat="1" ht="15" customHeight="1" x14ac:dyDescent="0.25">
      <c r="A16" s="201" t="s">
        <v>895</v>
      </c>
      <c r="B16" s="202"/>
      <c r="C16" s="202"/>
      <c r="D16" s="202"/>
      <c r="E16" s="203"/>
    </row>
    <row r="17" spans="1:7" s="52" customFormat="1" x14ac:dyDescent="0.25">
      <c r="A17" s="48" t="s">
        <v>532</v>
      </c>
      <c r="B17" s="25">
        <v>19</v>
      </c>
      <c r="C17" s="25">
        <v>19</v>
      </c>
      <c r="D17" s="25">
        <v>19</v>
      </c>
      <c r="E17" s="34">
        <v>19</v>
      </c>
      <c r="F17" s="33"/>
      <c r="G17" s="33"/>
    </row>
    <row r="18" spans="1:7" s="52" customFormat="1" x14ac:dyDescent="0.25">
      <c r="A18" s="48" t="s">
        <v>533</v>
      </c>
      <c r="B18" s="25">
        <v>1893349</v>
      </c>
      <c r="C18" s="25">
        <v>1433735</v>
      </c>
      <c r="D18" s="25">
        <v>1893349</v>
      </c>
      <c r="E18" s="34">
        <v>1433735</v>
      </c>
    </row>
    <row r="19" spans="1:7" s="33" customFormat="1" x14ac:dyDescent="0.25">
      <c r="A19" s="55" t="s">
        <v>534</v>
      </c>
      <c r="B19" s="25">
        <v>15398</v>
      </c>
      <c r="C19" s="25">
        <v>18004</v>
      </c>
      <c r="D19" s="25">
        <v>17494</v>
      </c>
      <c r="E19" s="34">
        <v>14736</v>
      </c>
    </row>
    <row r="20" spans="1:7" s="52" customFormat="1" x14ac:dyDescent="0.25">
      <c r="A20" s="48" t="s">
        <v>896</v>
      </c>
      <c r="B20" s="25" t="s">
        <v>2348</v>
      </c>
      <c r="C20" s="25" t="s">
        <v>2349</v>
      </c>
      <c r="D20" s="25" t="s">
        <v>2350</v>
      </c>
      <c r="E20" s="34" t="s">
        <v>2351</v>
      </c>
    </row>
    <row r="21" spans="1:7" s="52" customFormat="1" x14ac:dyDescent="0.25">
      <c r="A21" s="194" t="s">
        <v>907</v>
      </c>
      <c r="B21" s="195"/>
      <c r="C21" s="195"/>
      <c r="D21" s="195"/>
      <c r="E21" s="196"/>
    </row>
    <row r="22" spans="1:7" s="52" customFormat="1" x14ac:dyDescent="0.25">
      <c r="A22" s="48" t="s">
        <v>833</v>
      </c>
      <c r="B22" s="25" t="s">
        <v>2352</v>
      </c>
      <c r="C22" s="25" t="s">
        <v>2353</v>
      </c>
      <c r="D22" s="25" t="s">
        <v>2354</v>
      </c>
      <c r="E22" s="34" t="s">
        <v>2355</v>
      </c>
    </row>
    <row r="23" spans="1:7" s="52" customFormat="1" x14ac:dyDescent="0.25">
      <c r="A23" s="48" t="s">
        <v>866</v>
      </c>
      <c r="B23" s="25" t="s">
        <v>870</v>
      </c>
      <c r="C23" s="25" t="s">
        <v>873</v>
      </c>
      <c r="D23" s="25" t="s">
        <v>1402</v>
      </c>
      <c r="E23" s="34" t="s">
        <v>2356</v>
      </c>
    </row>
    <row r="24" spans="1:7" s="52" customFormat="1" x14ac:dyDescent="0.25">
      <c r="A24" s="48" t="s">
        <v>874</v>
      </c>
      <c r="B24" s="25" t="s">
        <v>2357</v>
      </c>
      <c r="C24" s="25" t="s">
        <v>2358</v>
      </c>
      <c r="D24" s="25" t="s">
        <v>2359</v>
      </c>
      <c r="E24" s="34" t="s">
        <v>2360</v>
      </c>
    </row>
    <row r="25" spans="1:7" s="33" customFormat="1" ht="15.75" thickBot="1" x14ac:dyDescent="0.3">
      <c r="A25" s="51" t="s">
        <v>844</v>
      </c>
      <c r="B25" s="29" t="s">
        <v>2361</v>
      </c>
      <c r="C25" s="29" t="s">
        <v>2362</v>
      </c>
      <c r="D25" s="29" t="s">
        <v>2363</v>
      </c>
      <c r="E25" s="32" t="s">
        <v>2364</v>
      </c>
    </row>
    <row r="26" spans="1:7" s="33" customFormat="1" ht="15" customHeight="1" x14ac:dyDescent="0.25">
      <c r="A26" s="201" t="s">
        <v>939</v>
      </c>
      <c r="B26" s="202"/>
      <c r="C26" s="202"/>
      <c r="D26" s="202"/>
      <c r="E26" s="203"/>
    </row>
    <row r="27" spans="1:7" s="52" customFormat="1" x14ac:dyDescent="0.25">
      <c r="A27" s="48" t="s">
        <v>532</v>
      </c>
      <c r="B27" s="25">
        <v>18</v>
      </c>
      <c r="C27" s="25">
        <v>18</v>
      </c>
      <c r="D27" s="25">
        <v>18</v>
      </c>
      <c r="E27" s="34">
        <v>18</v>
      </c>
    </row>
    <row r="28" spans="1:7" s="52" customFormat="1" x14ac:dyDescent="0.25">
      <c r="A28" s="48" t="s">
        <v>533</v>
      </c>
      <c r="B28" s="25">
        <v>606662</v>
      </c>
      <c r="C28" s="25">
        <v>468195</v>
      </c>
      <c r="D28" s="25">
        <v>606662</v>
      </c>
      <c r="E28" s="34">
        <v>468195</v>
      </c>
    </row>
    <row r="29" spans="1:7" s="52" customFormat="1" x14ac:dyDescent="0.25">
      <c r="A29" s="48" t="s">
        <v>534</v>
      </c>
      <c r="B29" s="25">
        <v>4648</v>
      </c>
      <c r="C29" s="25">
        <v>5518</v>
      </c>
      <c r="D29" s="25">
        <v>5311</v>
      </c>
      <c r="E29" s="34">
        <v>4425</v>
      </c>
    </row>
    <row r="30" spans="1:7" s="52" customFormat="1" x14ac:dyDescent="0.25">
      <c r="A30" s="48" t="s">
        <v>896</v>
      </c>
      <c r="B30" s="25" t="s">
        <v>2365</v>
      </c>
      <c r="C30" s="25" t="s">
        <v>2366</v>
      </c>
      <c r="D30" s="25" t="s">
        <v>2367</v>
      </c>
      <c r="E30" s="34" t="s">
        <v>2368</v>
      </c>
    </row>
    <row r="31" spans="1:7" s="52" customFormat="1" x14ac:dyDescent="0.25">
      <c r="A31" s="194" t="s">
        <v>950</v>
      </c>
      <c r="B31" s="195"/>
      <c r="C31" s="195"/>
      <c r="D31" s="195"/>
      <c r="E31" s="196"/>
    </row>
    <row r="32" spans="1:7" s="52" customFormat="1" x14ac:dyDescent="0.25">
      <c r="A32" s="48" t="s">
        <v>833</v>
      </c>
      <c r="B32" s="25" t="s">
        <v>2369</v>
      </c>
      <c r="C32" s="25" t="s">
        <v>2370</v>
      </c>
      <c r="D32" s="25" t="s">
        <v>2371</v>
      </c>
      <c r="E32" s="34" t="s">
        <v>2372</v>
      </c>
      <c r="F32" s="36"/>
    </row>
    <row r="33" spans="1:7" s="52" customFormat="1" x14ac:dyDescent="0.25">
      <c r="A33" s="48" t="s">
        <v>866</v>
      </c>
      <c r="B33" s="25" t="s">
        <v>918</v>
      </c>
      <c r="C33" s="25" t="s">
        <v>873</v>
      </c>
      <c r="D33" s="25" t="s">
        <v>962</v>
      </c>
      <c r="E33" s="34" t="s">
        <v>2373</v>
      </c>
    </row>
    <row r="34" spans="1:7" s="52" customFormat="1" x14ac:dyDescent="0.25">
      <c r="A34" s="48" t="s">
        <v>874</v>
      </c>
      <c r="B34" s="25" t="s">
        <v>2374</v>
      </c>
      <c r="C34" s="25" t="s">
        <v>2375</v>
      </c>
      <c r="D34" s="25" t="s">
        <v>2376</v>
      </c>
      <c r="E34" s="34" t="s">
        <v>2377</v>
      </c>
    </row>
    <row r="35" spans="1:7" s="33" customFormat="1" x14ac:dyDescent="0.25">
      <c r="A35" s="53" t="s">
        <v>844</v>
      </c>
      <c r="B35" s="25" t="s">
        <v>2378</v>
      </c>
      <c r="C35" s="25" t="s">
        <v>2379</v>
      </c>
      <c r="D35" s="25" t="s">
        <v>2380</v>
      </c>
      <c r="E35" s="34" t="s">
        <v>2381</v>
      </c>
    </row>
    <row r="36" spans="1:7" s="52" customFormat="1" x14ac:dyDescent="0.25">
      <c r="A36" s="194" t="s">
        <v>984</v>
      </c>
      <c r="B36" s="195"/>
      <c r="C36" s="195"/>
      <c r="D36" s="195"/>
      <c r="E36" s="196"/>
    </row>
    <row r="37" spans="1:7" s="52" customFormat="1" x14ac:dyDescent="0.25">
      <c r="A37" s="48" t="s">
        <v>833</v>
      </c>
      <c r="B37" s="25" t="s">
        <v>2382</v>
      </c>
      <c r="C37" s="25" t="s">
        <v>2383</v>
      </c>
      <c r="D37" s="25" t="s">
        <v>2384</v>
      </c>
      <c r="E37" s="34" t="s">
        <v>2385</v>
      </c>
    </row>
    <row r="38" spans="1:7" s="52" customFormat="1" x14ac:dyDescent="0.25">
      <c r="A38" s="48" t="s">
        <v>866</v>
      </c>
      <c r="B38" s="23" t="s">
        <v>1402</v>
      </c>
      <c r="C38" s="23" t="s">
        <v>1002</v>
      </c>
      <c r="D38" s="23" t="s">
        <v>1002</v>
      </c>
      <c r="E38" s="24" t="s">
        <v>1402</v>
      </c>
      <c r="F38" s="1"/>
      <c r="G38"/>
    </row>
    <row r="39" spans="1:7" s="52" customFormat="1" x14ac:dyDescent="0.25">
      <c r="A39" s="48" t="s">
        <v>874</v>
      </c>
      <c r="B39" s="23" t="s">
        <v>2386</v>
      </c>
      <c r="C39" s="23" t="s">
        <v>2387</v>
      </c>
      <c r="D39" s="23" t="s">
        <v>2388</v>
      </c>
      <c r="E39" s="24" t="s">
        <v>2389</v>
      </c>
      <c r="F39" s="1"/>
      <c r="G39"/>
    </row>
    <row r="40" spans="1:7" s="52" customFormat="1" ht="15.75" thickBot="1" x14ac:dyDescent="0.3">
      <c r="A40" s="49" t="s">
        <v>844</v>
      </c>
      <c r="B40" s="31" t="s">
        <v>2390</v>
      </c>
      <c r="C40" s="31" t="s">
        <v>2391</v>
      </c>
      <c r="D40" s="31" t="s">
        <v>2392</v>
      </c>
      <c r="E40" s="54" t="s">
        <v>2393</v>
      </c>
      <c r="F40" s="1"/>
      <c r="G40"/>
    </row>
    <row r="41" spans="1:7" s="52" customFormat="1" x14ac:dyDescent="0.25">
      <c r="A41"/>
      <c r="B41" s="20"/>
      <c r="C41" s="20"/>
      <c r="D41" s="20"/>
      <c r="E41" s="20"/>
      <c r="F41" s="1"/>
      <c r="G41"/>
    </row>
    <row r="42" spans="1:7" ht="28.5" customHeight="1" x14ac:dyDescent="0.25">
      <c r="A42" s="239" t="s">
        <v>2394</v>
      </c>
      <c r="B42" s="239"/>
      <c r="C42" s="239"/>
      <c r="D42" s="239"/>
      <c r="E42" s="239"/>
    </row>
  </sheetData>
  <mergeCells count="12">
    <mergeCell ref="A1:E1"/>
    <mergeCell ref="A42:E42"/>
    <mergeCell ref="A36:E36"/>
    <mergeCell ref="B2:C2"/>
    <mergeCell ref="D2:E2"/>
    <mergeCell ref="A4:E4"/>
    <mergeCell ref="A8:E8"/>
    <mergeCell ref="A26:E26"/>
    <mergeCell ref="A31:E31"/>
    <mergeCell ref="A11:E11"/>
    <mergeCell ref="A16:E16"/>
    <mergeCell ref="A21:E21"/>
  </mergeCells>
  <pageMargins left="0.25" right="0.25" top="0.75" bottom="0.75" header="0.3" footer="0.3"/>
  <pageSetup scale="79" orientation="landscape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1466C-54D1-4CD8-B620-A7F3755A9D0F}">
  <sheetPr>
    <pageSetUpPr fitToPage="1"/>
  </sheetPr>
  <dimension ref="A1:N75"/>
  <sheetViews>
    <sheetView workbookViewId="0">
      <selection activeCell="A16" sqref="A16:A17"/>
    </sheetView>
  </sheetViews>
  <sheetFormatPr defaultColWidth="8.85546875" defaultRowHeight="15" x14ac:dyDescent="0.25"/>
  <cols>
    <col min="1" max="1" width="48.42578125" style="33" customWidth="1"/>
    <col min="2" max="2" width="23.85546875" style="33" customWidth="1"/>
    <col min="3" max="3" width="11.5703125" style="33" customWidth="1"/>
    <col min="4" max="12" width="11.42578125" style="33" customWidth="1"/>
    <col min="13" max="14" width="11.140625" style="33" customWidth="1"/>
    <col min="15" max="16384" width="8.85546875" style="33"/>
  </cols>
  <sheetData>
    <row r="1" spans="1:14" x14ac:dyDescent="0.25">
      <c r="A1" s="65" t="s">
        <v>3110</v>
      </c>
      <c r="B1" s="65"/>
      <c r="C1" s="65"/>
      <c r="D1" s="65"/>
    </row>
    <row r="2" spans="1:14" ht="15.75" thickBot="1" x14ac:dyDescent="0.3">
      <c r="A2" s="65"/>
      <c r="B2" s="65"/>
      <c r="C2" s="65"/>
      <c r="D2" s="65"/>
    </row>
    <row r="3" spans="1:14" x14ac:dyDescent="0.25">
      <c r="A3" s="166" t="s">
        <v>3108</v>
      </c>
      <c r="B3" s="167" t="s">
        <v>3082</v>
      </c>
      <c r="C3" s="168" t="s">
        <v>3107</v>
      </c>
      <c r="D3" s="65"/>
      <c r="E3" s="241" t="s">
        <v>3111</v>
      </c>
      <c r="F3" s="242"/>
      <c r="G3" s="242"/>
      <c r="H3" s="242"/>
      <c r="I3" s="242"/>
      <c r="J3" s="242"/>
      <c r="K3" s="242"/>
      <c r="L3" s="242"/>
      <c r="M3" s="242"/>
      <c r="N3" s="243"/>
    </row>
    <row r="4" spans="1:14" x14ac:dyDescent="0.25">
      <c r="A4" s="169" t="s">
        <v>3112</v>
      </c>
      <c r="B4" s="33" t="s">
        <v>3083</v>
      </c>
      <c r="C4" s="170">
        <v>50</v>
      </c>
      <c r="D4" s="65"/>
      <c r="E4" s="244" t="s">
        <v>35</v>
      </c>
      <c r="F4" s="192"/>
      <c r="G4" s="192" t="s">
        <v>36</v>
      </c>
      <c r="H4" s="192"/>
      <c r="I4" s="192" t="s">
        <v>327</v>
      </c>
      <c r="J4" s="192"/>
      <c r="K4" s="192" t="s">
        <v>328</v>
      </c>
      <c r="L4" s="192"/>
      <c r="M4" s="192" t="s">
        <v>39</v>
      </c>
      <c r="N4" s="245"/>
    </row>
    <row r="5" spans="1:14" x14ac:dyDescent="0.25">
      <c r="A5" s="169" t="s">
        <v>3113</v>
      </c>
      <c r="B5" s="33" t="s">
        <v>3084</v>
      </c>
      <c r="C5" s="170">
        <v>200</v>
      </c>
      <c r="D5" s="65"/>
      <c r="E5" s="171" t="s">
        <v>330</v>
      </c>
      <c r="F5" s="124" t="s">
        <v>331</v>
      </c>
      <c r="G5" s="124" t="s">
        <v>330</v>
      </c>
      <c r="H5" s="124" t="s">
        <v>331</v>
      </c>
      <c r="I5" s="124" t="s">
        <v>330</v>
      </c>
      <c r="J5" s="124" t="s">
        <v>331</v>
      </c>
      <c r="K5" s="124" t="s">
        <v>330</v>
      </c>
      <c r="L5" s="124" t="s">
        <v>331</v>
      </c>
      <c r="M5" s="124" t="s">
        <v>330</v>
      </c>
      <c r="N5" s="172" t="s">
        <v>331</v>
      </c>
    </row>
    <row r="6" spans="1:14" ht="15.75" thickBot="1" x14ac:dyDescent="0.3">
      <c r="A6" s="169" t="s">
        <v>3114</v>
      </c>
      <c r="B6" s="33" t="s">
        <v>3085</v>
      </c>
      <c r="C6" s="170">
        <v>45</v>
      </c>
      <c r="D6" s="65"/>
      <c r="E6" s="173">
        <f t="shared" ref="E6:N6" si="0">C42</f>
        <v>0.14683939095644824</v>
      </c>
      <c r="F6" s="174">
        <f t="shared" si="0"/>
        <v>0.16317056158151638</v>
      </c>
      <c r="G6" s="174">
        <f t="shared" si="0"/>
        <v>9.1950897536328721E-2</v>
      </c>
      <c r="H6" s="174">
        <f t="shared" si="0"/>
        <v>0.10194362642179755</v>
      </c>
      <c r="I6" s="174">
        <f t="shared" si="0"/>
        <v>8.0560967779142567E-2</v>
      </c>
      <c r="J6" s="174">
        <f t="shared" si="0"/>
        <v>0.10591096013400046</v>
      </c>
      <c r="K6" s="174">
        <f t="shared" si="0"/>
        <v>4.4096667638944001E-2</v>
      </c>
      <c r="L6" s="174">
        <f t="shared" si="0"/>
        <v>5.5660856263050118E-2</v>
      </c>
      <c r="M6" s="174">
        <f t="shared" si="0"/>
        <v>5.4007794606351675E-2</v>
      </c>
      <c r="N6" s="175">
        <f t="shared" si="0"/>
        <v>5.2070696442453601E-2</v>
      </c>
    </row>
    <row r="7" spans="1:14" x14ac:dyDescent="0.25">
      <c r="A7" s="176" t="s">
        <v>3115</v>
      </c>
      <c r="B7" s="156" t="s">
        <v>3086</v>
      </c>
      <c r="C7" s="170">
        <v>160</v>
      </c>
      <c r="D7" s="65"/>
      <c r="E7" s="33" t="s">
        <v>3159</v>
      </c>
    </row>
    <row r="8" spans="1:14" x14ac:dyDescent="0.25">
      <c r="A8" s="169" t="s">
        <v>3087</v>
      </c>
      <c r="B8" s="177" t="s">
        <v>3088</v>
      </c>
      <c r="C8" s="170">
        <v>1</v>
      </c>
      <c r="D8" s="65"/>
    </row>
    <row r="9" spans="1:14" x14ac:dyDescent="0.25">
      <c r="A9" s="169" t="s">
        <v>3116</v>
      </c>
      <c r="B9" s="177" t="s">
        <v>3088</v>
      </c>
      <c r="C9" s="170">
        <v>0</v>
      </c>
      <c r="D9" s="65"/>
    </row>
    <row r="10" spans="1:14" ht="14.45" customHeight="1" x14ac:dyDescent="0.25">
      <c r="A10" s="178" t="s">
        <v>3117</v>
      </c>
      <c r="B10" s="156" t="s">
        <v>3118</v>
      </c>
      <c r="C10" s="170">
        <v>35</v>
      </c>
      <c r="D10" s="65"/>
      <c r="E10" s="118"/>
      <c r="F10" s="118"/>
      <c r="G10" s="118"/>
      <c r="H10" s="118"/>
      <c r="I10" s="118"/>
      <c r="J10" s="118"/>
      <c r="K10" s="118"/>
      <c r="L10" s="118"/>
      <c r="M10" s="118"/>
      <c r="N10" s="118"/>
    </row>
    <row r="11" spans="1:14" ht="14.45" customHeight="1" x14ac:dyDescent="0.25">
      <c r="A11" s="176" t="s">
        <v>3119</v>
      </c>
      <c r="B11" s="156" t="s">
        <v>3120</v>
      </c>
      <c r="C11" s="170">
        <v>90</v>
      </c>
      <c r="D11" s="65"/>
      <c r="E11" s="118"/>
      <c r="F11" s="118"/>
      <c r="G11" s="118"/>
      <c r="H11" s="118"/>
      <c r="I11" s="118"/>
      <c r="J11" s="118"/>
      <c r="K11" s="118"/>
      <c r="L11" s="118"/>
      <c r="M11" s="118"/>
      <c r="N11" s="118"/>
    </row>
    <row r="12" spans="1:14" x14ac:dyDescent="0.25">
      <c r="A12" s="169" t="s">
        <v>3121</v>
      </c>
      <c r="B12" s="177" t="s">
        <v>3088</v>
      </c>
      <c r="C12" s="170">
        <v>1</v>
      </c>
      <c r="D12" s="65"/>
      <c r="E12" s="118"/>
      <c r="F12" s="118"/>
      <c r="G12" s="118"/>
      <c r="H12" s="118"/>
      <c r="I12" s="118"/>
      <c r="J12" s="118"/>
      <c r="K12" s="118"/>
      <c r="L12" s="118"/>
      <c r="M12" s="118"/>
      <c r="N12" s="118"/>
    </row>
    <row r="13" spans="1:14" ht="15.75" thickBot="1" x14ac:dyDescent="0.3">
      <c r="A13" s="179" t="s">
        <v>3089</v>
      </c>
      <c r="B13" s="180" t="s">
        <v>3088</v>
      </c>
      <c r="C13" s="181">
        <v>0</v>
      </c>
      <c r="D13" s="65"/>
      <c r="E13" s="118"/>
      <c r="F13" s="118"/>
      <c r="G13" s="118"/>
      <c r="H13" s="118"/>
      <c r="I13" s="118"/>
      <c r="J13" s="118"/>
      <c r="K13" s="118"/>
      <c r="L13" s="118"/>
      <c r="M13" s="118"/>
      <c r="N13" s="118"/>
    </row>
    <row r="14" spans="1:14" x14ac:dyDescent="0.25">
      <c r="A14" s="65"/>
      <c r="B14" s="65"/>
      <c r="C14" s="65"/>
      <c r="D14" s="65"/>
      <c r="E14" s="118"/>
      <c r="F14" s="118"/>
      <c r="G14" s="118"/>
      <c r="H14" s="118"/>
      <c r="I14" s="118"/>
      <c r="J14" s="118"/>
      <c r="K14" s="118"/>
      <c r="L14" s="118"/>
      <c r="M14" s="118"/>
      <c r="N14" s="118"/>
    </row>
    <row r="15" spans="1:14" x14ac:dyDescent="0.25">
      <c r="A15" s="65" t="s">
        <v>3122</v>
      </c>
      <c r="B15" s="65"/>
      <c r="C15" s="65"/>
      <c r="D15" s="65"/>
      <c r="E15" s="118"/>
      <c r="F15" s="118"/>
      <c r="G15" s="118"/>
      <c r="H15" s="118"/>
      <c r="I15" s="118"/>
      <c r="J15" s="118"/>
      <c r="K15" s="118"/>
      <c r="L15" s="118"/>
      <c r="M15" s="118"/>
      <c r="N15" s="118"/>
    </row>
    <row r="16" spans="1:14" x14ac:dyDescent="0.25">
      <c r="A16" s="236" t="s">
        <v>3168</v>
      </c>
      <c r="B16" s="236" t="s">
        <v>3109</v>
      </c>
      <c r="C16" s="192" t="s">
        <v>35</v>
      </c>
      <c r="D16" s="192"/>
      <c r="E16" s="192" t="s">
        <v>36</v>
      </c>
      <c r="F16" s="192"/>
      <c r="G16" s="192" t="s">
        <v>327</v>
      </c>
      <c r="H16" s="192"/>
      <c r="I16" s="192" t="s">
        <v>328</v>
      </c>
      <c r="J16" s="192"/>
      <c r="K16" s="192" t="s">
        <v>39</v>
      </c>
      <c r="L16" s="192"/>
    </row>
    <row r="17" spans="1:12" x14ac:dyDescent="0.25">
      <c r="A17" s="236"/>
      <c r="B17" s="236"/>
      <c r="C17" s="124" t="s">
        <v>330</v>
      </c>
      <c r="D17" s="124" t="s">
        <v>331</v>
      </c>
      <c r="E17" s="124" t="s">
        <v>330</v>
      </c>
      <c r="F17" s="124" t="s">
        <v>331</v>
      </c>
      <c r="G17" s="124" t="s">
        <v>330</v>
      </c>
      <c r="H17" s="124" t="s">
        <v>331</v>
      </c>
      <c r="I17" s="124" t="s">
        <v>330</v>
      </c>
      <c r="J17" s="124" t="s">
        <v>331</v>
      </c>
      <c r="K17" s="124" t="s">
        <v>330</v>
      </c>
      <c r="L17" s="124" t="s">
        <v>331</v>
      </c>
    </row>
    <row r="18" spans="1:12" x14ac:dyDescent="0.25">
      <c r="A18" s="33" t="s">
        <v>3123</v>
      </c>
      <c r="B18" s="177">
        <f>IF(AND(C4&gt;=30,C4&lt;80),(C4-55)/10, "out of range")</f>
        <v>-0.5</v>
      </c>
      <c r="C18" s="177">
        <f t="shared" ref="C18:L33" si="1">$B18*C47</f>
        <v>-0.39696645000000003</v>
      </c>
      <c r="D18" s="177">
        <f t="shared" si="1"/>
        <v>-0.3844264</v>
      </c>
      <c r="E18" s="177">
        <f t="shared" si="1"/>
        <v>-0.35994150000000003</v>
      </c>
      <c r="F18" s="177">
        <f t="shared" si="1"/>
        <v>-0.35499235000000001</v>
      </c>
      <c r="G18" s="177">
        <f t="shared" si="1"/>
        <v>-0.44991175</v>
      </c>
      <c r="H18" s="177">
        <f t="shared" si="1"/>
        <v>-0.44863209999999998</v>
      </c>
      <c r="I18" s="177">
        <f t="shared" si="1"/>
        <v>-0.37935730000000001</v>
      </c>
      <c r="J18" s="177">
        <f t="shared" si="1"/>
        <v>-0.37116415000000003</v>
      </c>
      <c r="K18" s="177">
        <f t="shared" si="1"/>
        <v>-0.34539245000000002</v>
      </c>
      <c r="L18" s="177">
        <f t="shared" si="1"/>
        <v>-0.36125649999999998</v>
      </c>
    </row>
    <row r="19" spans="1:12" x14ac:dyDescent="0.25">
      <c r="A19" s="33" t="s">
        <v>3124</v>
      </c>
      <c r="B19" s="177">
        <f>IF(AND(C5&gt;=130,C5&lt;=320,C6&gt;=20,C6&lt;=100),(C5-C6)*0.02586-3.5,"out of range")</f>
        <v>0.5083000000000002</v>
      </c>
      <c r="C19" s="177">
        <f t="shared" si="1"/>
        <v>1.5515298370000007E-2</v>
      </c>
      <c r="D19" s="177">
        <f t="shared" si="1"/>
        <v>3.7419724420000015E-2</v>
      </c>
      <c r="E19" s="177">
        <f t="shared" si="1"/>
        <v>5.9825232610000022E-2</v>
      </c>
      <c r="F19" s="177">
        <f t="shared" si="1"/>
        <v>8.4309840290000035E-2</v>
      </c>
      <c r="G19" s="177">
        <f t="shared" si="1"/>
        <v>0</v>
      </c>
      <c r="H19" s="177">
        <f t="shared" si="1"/>
        <v>0</v>
      </c>
      <c r="I19" s="177">
        <f t="shared" si="1"/>
        <v>9.2050537670000043E-2</v>
      </c>
      <c r="J19" s="177">
        <f t="shared" si="1"/>
        <v>0.13074030047000007</v>
      </c>
      <c r="K19" s="177">
        <f t="shared" si="1"/>
        <v>2.715740157000001E-2</v>
      </c>
      <c r="L19" s="177">
        <f t="shared" si="1"/>
        <v>1.3385978840000005E-2</v>
      </c>
    </row>
    <row r="20" spans="1:12" x14ac:dyDescent="0.25">
      <c r="A20" s="33" t="s">
        <v>3125</v>
      </c>
      <c r="B20" s="177">
        <f>IF(AND(C6&gt;=20,C6&lt;=100),(C6*0.02586-1.3)/0.3,"out of range")</f>
        <v>-0.45433333333333364</v>
      </c>
      <c r="C20" s="177">
        <f t="shared" si="1"/>
        <v>7.3004869700000044E-2</v>
      </c>
      <c r="D20" s="177">
        <f t="shared" si="1"/>
        <v>4.3362981766666697E-2</v>
      </c>
      <c r="E20" s="177">
        <f t="shared" si="1"/>
        <v>6.868838500000006E-2</v>
      </c>
      <c r="F20" s="177">
        <f t="shared" si="1"/>
        <v>5.1988681833333369E-2</v>
      </c>
      <c r="G20" s="177">
        <f t="shared" si="1"/>
        <v>0</v>
      </c>
      <c r="H20" s="177">
        <f t="shared" si="1"/>
        <v>0</v>
      </c>
      <c r="I20" s="177">
        <f t="shared" si="1"/>
        <v>9.1525768033333399E-2</v>
      </c>
      <c r="J20" s="177">
        <f t="shared" si="1"/>
        <v>8.2705658733333381E-2</v>
      </c>
      <c r="K20" s="177">
        <f t="shared" si="1"/>
        <v>4.7937118900000034E-2</v>
      </c>
      <c r="L20" s="177">
        <f t="shared" si="1"/>
        <v>1.131103723333334E-2</v>
      </c>
    </row>
    <row r="21" spans="1:12" x14ac:dyDescent="0.25">
      <c r="A21" s="33" t="s">
        <v>3090</v>
      </c>
      <c r="B21" s="177">
        <f>IF(AND(C7&gt;=90,C7&lt;=200),(MIN(C7,110)-110)/20,"out of range")</f>
        <v>0</v>
      </c>
      <c r="C21" s="177">
        <f t="shared" si="1"/>
        <v>0</v>
      </c>
      <c r="D21" s="177">
        <f t="shared" si="1"/>
        <v>0</v>
      </c>
      <c r="E21" s="177">
        <f t="shared" si="1"/>
        <v>0</v>
      </c>
      <c r="F21" s="177">
        <f t="shared" si="1"/>
        <v>0</v>
      </c>
      <c r="G21" s="177">
        <f t="shared" si="1"/>
        <v>0</v>
      </c>
      <c r="H21" s="177">
        <f t="shared" si="1"/>
        <v>0</v>
      </c>
      <c r="I21" s="177">
        <f t="shared" si="1"/>
        <v>0</v>
      </c>
      <c r="J21" s="177">
        <f t="shared" si="1"/>
        <v>0</v>
      </c>
      <c r="K21" s="177">
        <f t="shared" si="1"/>
        <v>0</v>
      </c>
      <c r="L21" s="177">
        <f t="shared" si="1"/>
        <v>0</v>
      </c>
    </row>
    <row r="22" spans="1:12" x14ac:dyDescent="0.25">
      <c r="A22" s="33" t="s">
        <v>3091</v>
      </c>
      <c r="B22" s="177">
        <f>IF(AND(C7&gt;=90,C7&lt;=200),(MAX(C7,110)-130)/20,"out of range")</f>
        <v>1.5</v>
      </c>
      <c r="C22" s="177">
        <f t="shared" si="1"/>
        <v>0.54011715000000005</v>
      </c>
      <c r="D22" s="177">
        <f t="shared" si="1"/>
        <v>0.50439869999999998</v>
      </c>
      <c r="E22" s="177">
        <f t="shared" si="1"/>
        <v>0.53892780000000007</v>
      </c>
      <c r="F22" s="177">
        <f t="shared" si="1"/>
        <v>0.48599654999999997</v>
      </c>
      <c r="G22" s="177">
        <f t="shared" si="1"/>
        <v>0.53647574999999992</v>
      </c>
      <c r="H22" s="177">
        <f t="shared" si="1"/>
        <v>0.54516914999999999</v>
      </c>
      <c r="I22" s="177">
        <f t="shared" si="1"/>
        <v>0.53215964999999998</v>
      </c>
      <c r="J22" s="177">
        <f t="shared" si="1"/>
        <v>0.469167</v>
      </c>
      <c r="K22" s="177">
        <f t="shared" si="1"/>
        <v>0.54978254999999998</v>
      </c>
      <c r="L22" s="177">
        <f t="shared" si="1"/>
        <v>0.52119509999999991</v>
      </c>
    </row>
    <row r="23" spans="1:12" x14ac:dyDescent="0.25">
      <c r="A23" s="33" t="s">
        <v>372</v>
      </c>
      <c r="B23" s="177">
        <f>IF(OR(C8=0,C8=1),C8,"out of range")</f>
        <v>1</v>
      </c>
      <c r="C23" s="177">
        <f t="shared" si="1"/>
        <v>0.86676039999999999</v>
      </c>
      <c r="D23" s="177">
        <f t="shared" si="1"/>
        <v>0.76928569999999996</v>
      </c>
      <c r="E23" s="177">
        <f t="shared" si="1"/>
        <v>0.83485849999999995</v>
      </c>
      <c r="F23" s="177">
        <f t="shared" si="1"/>
        <v>0.71895969999999998</v>
      </c>
      <c r="G23" s="177">
        <f t="shared" si="1"/>
        <v>1.038346</v>
      </c>
      <c r="H23" s="177">
        <f t="shared" si="1"/>
        <v>0.92377600000000004</v>
      </c>
      <c r="I23" s="177">
        <f t="shared" si="1"/>
        <v>0.9045358</v>
      </c>
      <c r="J23" s="177">
        <f t="shared" si="1"/>
        <v>0.74852490000000005</v>
      </c>
      <c r="K23" s="177">
        <f t="shared" si="1"/>
        <v>0.80137210000000003</v>
      </c>
      <c r="L23" s="177">
        <f t="shared" si="1"/>
        <v>0.68469899999999995</v>
      </c>
    </row>
    <row r="24" spans="1:12" x14ac:dyDescent="0.25">
      <c r="A24" s="33" t="s">
        <v>3126</v>
      </c>
      <c r="B24" s="177">
        <f>IF(OR(C9=0,C9=1),C9,"out of range")</f>
        <v>0</v>
      </c>
      <c r="C24" s="177">
        <f t="shared" si="1"/>
        <v>0</v>
      </c>
      <c r="D24" s="177">
        <f t="shared" si="1"/>
        <v>0</v>
      </c>
      <c r="E24" s="177">
        <f t="shared" si="1"/>
        <v>0</v>
      </c>
      <c r="F24" s="177">
        <f t="shared" si="1"/>
        <v>0</v>
      </c>
      <c r="G24" s="177">
        <f t="shared" si="1"/>
        <v>0</v>
      </c>
      <c r="H24" s="177">
        <f t="shared" si="1"/>
        <v>0</v>
      </c>
      <c r="I24" s="177">
        <f t="shared" si="1"/>
        <v>0</v>
      </c>
      <c r="J24" s="177">
        <f t="shared" si="1"/>
        <v>0</v>
      </c>
      <c r="K24" s="177">
        <f t="shared" si="1"/>
        <v>0</v>
      </c>
      <c r="L24" s="177">
        <f t="shared" si="1"/>
        <v>0</v>
      </c>
    </row>
    <row r="25" spans="1:12" x14ac:dyDescent="0.25">
      <c r="A25" s="33" t="s">
        <v>3092</v>
      </c>
      <c r="B25" s="177">
        <f>IF(AND(C10&gt;=18.5,C10&lt;40),(MIN(C10,30)-25)/5,"out of range")</f>
        <v>1</v>
      </c>
      <c r="C25" s="177">
        <f t="shared" si="1"/>
        <v>0</v>
      </c>
      <c r="D25" s="177">
        <f t="shared" si="1"/>
        <v>0</v>
      </c>
      <c r="E25" s="177">
        <f t="shared" si="1"/>
        <v>0</v>
      </c>
      <c r="F25" s="177">
        <f t="shared" si="1"/>
        <v>0</v>
      </c>
      <c r="G25" s="177">
        <f t="shared" si="1"/>
        <v>-7.2294000000000004E-3</v>
      </c>
      <c r="H25" s="177">
        <f t="shared" si="1"/>
        <v>-4.8584099999999998E-2</v>
      </c>
      <c r="I25" s="177">
        <f t="shared" si="1"/>
        <v>0</v>
      </c>
      <c r="J25" s="177">
        <f t="shared" si="1"/>
        <v>0</v>
      </c>
      <c r="K25" s="177">
        <f t="shared" si="1"/>
        <v>0</v>
      </c>
      <c r="L25" s="177">
        <f t="shared" si="1"/>
        <v>0</v>
      </c>
    </row>
    <row r="26" spans="1:12" x14ac:dyDescent="0.25">
      <c r="A26" s="33" t="s">
        <v>3093</v>
      </c>
      <c r="B26" s="177">
        <f>IF(AND(C10&gt;=18.5,C10&lt;40),(MAX(C10,30)-30)/5,"out of range")</f>
        <v>1</v>
      </c>
      <c r="C26" s="177">
        <f t="shared" si="1"/>
        <v>0</v>
      </c>
      <c r="D26" s="177">
        <f t="shared" si="1"/>
        <v>0</v>
      </c>
      <c r="E26" s="177">
        <f t="shared" si="1"/>
        <v>0</v>
      </c>
      <c r="F26" s="177">
        <f t="shared" si="1"/>
        <v>0</v>
      </c>
      <c r="G26" s="177">
        <f t="shared" si="1"/>
        <v>0.2997706</v>
      </c>
      <c r="H26" s="177">
        <f t="shared" si="1"/>
        <v>0.37269289999999999</v>
      </c>
      <c r="I26" s="177">
        <f t="shared" si="1"/>
        <v>0</v>
      </c>
      <c r="J26" s="177">
        <f t="shared" si="1"/>
        <v>0</v>
      </c>
      <c r="K26" s="177">
        <f t="shared" si="1"/>
        <v>0</v>
      </c>
      <c r="L26" s="177">
        <f t="shared" si="1"/>
        <v>0</v>
      </c>
    </row>
    <row r="27" spans="1:12" x14ac:dyDescent="0.25">
      <c r="A27" s="33" t="s">
        <v>3094</v>
      </c>
      <c r="B27" s="177">
        <f>IF(AND(C11&gt;=15,C11&lt;=150),(MIN(C11,60)-60)/-15,"out of range")</f>
        <v>0</v>
      </c>
      <c r="C27" s="177">
        <f t="shared" si="1"/>
        <v>0</v>
      </c>
      <c r="D27" s="177">
        <f t="shared" si="1"/>
        <v>0</v>
      </c>
      <c r="E27" s="177">
        <f t="shared" si="1"/>
        <v>0</v>
      </c>
      <c r="F27" s="177">
        <f t="shared" si="1"/>
        <v>0</v>
      </c>
      <c r="G27" s="177">
        <f t="shared" si="1"/>
        <v>0</v>
      </c>
      <c r="H27" s="177">
        <f t="shared" si="1"/>
        <v>0</v>
      </c>
      <c r="I27" s="177">
        <f t="shared" si="1"/>
        <v>0</v>
      </c>
      <c r="J27" s="177">
        <f t="shared" si="1"/>
        <v>0</v>
      </c>
      <c r="K27" s="177">
        <f t="shared" si="1"/>
        <v>0</v>
      </c>
      <c r="L27" s="177">
        <f t="shared" si="1"/>
        <v>0</v>
      </c>
    </row>
    <row r="28" spans="1:12" x14ac:dyDescent="0.25">
      <c r="A28" s="33" t="s">
        <v>3095</v>
      </c>
      <c r="B28" s="177">
        <f>IF(AND(C11&gt;=15,C11&lt;=150),(MAX(C11,60)-90)/-15,"out of range")</f>
        <v>0</v>
      </c>
      <c r="C28" s="177">
        <f t="shared" si="1"/>
        <v>0</v>
      </c>
      <c r="D28" s="177">
        <f t="shared" si="1"/>
        <v>0</v>
      </c>
      <c r="E28" s="177">
        <f t="shared" si="1"/>
        <v>0</v>
      </c>
      <c r="F28" s="177">
        <f t="shared" si="1"/>
        <v>0</v>
      </c>
      <c r="G28" s="177">
        <f t="shared" si="1"/>
        <v>0</v>
      </c>
      <c r="H28" s="177">
        <f t="shared" si="1"/>
        <v>0</v>
      </c>
      <c r="I28" s="177">
        <f t="shared" si="1"/>
        <v>0</v>
      </c>
      <c r="J28" s="177">
        <f t="shared" si="1"/>
        <v>0</v>
      </c>
      <c r="K28" s="177">
        <f t="shared" si="1"/>
        <v>0</v>
      </c>
      <c r="L28" s="177">
        <f t="shared" si="1"/>
        <v>0</v>
      </c>
    </row>
    <row r="29" spans="1:12" x14ac:dyDescent="0.25">
      <c r="A29" s="33" t="s">
        <v>3127</v>
      </c>
      <c r="B29" s="177">
        <f>IF(OR(C12=0,C12=1),C12,"out of range")</f>
        <v>1</v>
      </c>
      <c r="C29" s="177">
        <f t="shared" si="1"/>
        <v>0.31516719999999998</v>
      </c>
      <c r="D29" s="177">
        <f t="shared" si="1"/>
        <v>0.288879</v>
      </c>
      <c r="E29" s="177">
        <f t="shared" si="1"/>
        <v>0.22653090000000001</v>
      </c>
      <c r="F29" s="177">
        <f t="shared" si="1"/>
        <v>0.20365220000000001</v>
      </c>
      <c r="G29" s="177">
        <f t="shared" si="1"/>
        <v>0.35344419999999999</v>
      </c>
      <c r="H29" s="177">
        <f t="shared" si="1"/>
        <v>0.29809219999999997</v>
      </c>
      <c r="I29" s="177">
        <f t="shared" si="1"/>
        <v>0.2010642</v>
      </c>
      <c r="J29" s="177">
        <f t="shared" si="1"/>
        <v>0.15881990000000001</v>
      </c>
      <c r="K29" s="177">
        <f t="shared" si="1"/>
        <v>0.2494624</v>
      </c>
      <c r="L29" s="177">
        <f t="shared" si="1"/>
        <v>0.232963</v>
      </c>
    </row>
    <row r="30" spans="1:12" x14ac:dyDescent="0.25">
      <c r="A30" s="33" t="s">
        <v>3128</v>
      </c>
      <c r="B30" s="177">
        <f>IF(OR(C13=0,C13=1),C13,"out of range")</f>
        <v>0</v>
      </c>
      <c r="C30" s="177">
        <f t="shared" si="1"/>
        <v>0</v>
      </c>
      <c r="D30" s="177">
        <f t="shared" si="1"/>
        <v>0</v>
      </c>
      <c r="E30" s="177">
        <f t="shared" si="1"/>
        <v>0</v>
      </c>
      <c r="F30" s="177">
        <f t="shared" si="1"/>
        <v>0</v>
      </c>
      <c r="G30" s="177">
        <f t="shared" si="1"/>
        <v>0</v>
      </c>
      <c r="H30" s="177">
        <f t="shared" si="1"/>
        <v>0</v>
      </c>
      <c r="I30" s="177">
        <f t="shared" si="1"/>
        <v>0</v>
      </c>
      <c r="J30" s="177">
        <f t="shared" si="1"/>
        <v>0</v>
      </c>
      <c r="K30" s="177">
        <f t="shared" si="1"/>
        <v>0</v>
      </c>
      <c r="L30" s="177">
        <f t="shared" si="1"/>
        <v>0</v>
      </c>
    </row>
    <row r="31" spans="1:12" x14ac:dyDescent="0.25">
      <c r="A31" s="33" t="s">
        <v>3129</v>
      </c>
      <c r="B31" s="177">
        <f>B22*B29</f>
        <v>1.5</v>
      </c>
      <c r="C31" s="177">
        <f t="shared" si="1"/>
        <v>-9.9541799999999986E-2</v>
      </c>
      <c r="D31" s="177">
        <f t="shared" si="1"/>
        <v>-7.1388599999999997E-2</v>
      </c>
      <c r="E31" s="177">
        <f t="shared" si="1"/>
        <v>-5.9364299999999995E-2</v>
      </c>
      <c r="F31" s="177">
        <f t="shared" si="1"/>
        <v>-4.8437399999999992E-2</v>
      </c>
      <c r="G31" s="177">
        <f t="shared" si="1"/>
        <v>-0.14722665000000001</v>
      </c>
      <c r="H31" s="177">
        <f t="shared" si="1"/>
        <v>-7.4659649999999994E-2</v>
      </c>
      <c r="I31" s="177">
        <f t="shared" si="1"/>
        <v>-0.13368570000000002</v>
      </c>
      <c r="J31" s="177">
        <f t="shared" si="1"/>
        <v>-8.6677649999999995E-2</v>
      </c>
      <c r="K31" s="177">
        <f t="shared" si="1"/>
        <v>-1.1855850000000001E-2</v>
      </c>
      <c r="L31" s="177">
        <f t="shared" si="1"/>
        <v>1.8138899999999999E-2</v>
      </c>
    </row>
    <row r="32" spans="1:12" x14ac:dyDescent="0.25">
      <c r="A32" s="33" t="s">
        <v>3130</v>
      </c>
      <c r="B32" s="177">
        <f>B19*B30</f>
        <v>0</v>
      </c>
      <c r="C32" s="177">
        <f t="shared" si="1"/>
        <v>0</v>
      </c>
      <c r="D32" s="177">
        <f t="shared" si="1"/>
        <v>0</v>
      </c>
      <c r="E32" s="177">
        <f t="shared" si="1"/>
        <v>0</v>
      </c>
      <c r="F32" s="177">
        <f t="shared" si="1"/>
        <v>0</v>
      </c>
      <c r="G32" s="177">
        <f t="shared" si="1"/>
        <v>0</v>
      </c>
      <c r="H32" s="177">
        <f t="shared" si="1"/>
        <v>0</v>
      </c>
      <c r="I32" s="177">
        <f t="shared" si="1"/>
        <v>0</v>
      </c>
      <c r="J32" s="177">
        <f t="shared" si="1"/>
        <v>0</v>
      </c>
      <c r="K32" s="177">
        <f t="shared" si="1"/>
        <v>0</v>
      </c>
      <c r="L32" s="177">
        <f t="shared" si="1"/>
        <v>0</v>
      </c>
    </row>
    <row r="33" spans="1:12" x14ac:dyDescent="0.25">
      <c r="A33" s="33" t="s">
        <v>3131</v>
      </c>
      <c r="B33" s="177">
        <f>B18*B19</f>
        <v>-0.2541500000000001</v>
      </c>
      <c r="C33" s="177">
        <f t="shared" si="1"/>
        <v>2.0833056725000007E-2</v>
      </c>
      <c r="D33" s="177">
        <f t="shared" si="1"/>
        <v>1.3161767710000005E-2</v>
      </c>
      <c r="E33" s="177">
        <f t="shared" si="1"/>
        <v>1.4431628185000005E-2</v>
      </c>
      <c r="F33" s="177">
        <f t="shared" si="1"/>
        <v>7.6246270750000029E-3</v>
      </c>
      <c r="G33" s="177">
        <f t="shared" si="1"/>
        <v>0</v>
      </c>
      <c r="H33" s="177">
        <f t="shared" si="1"/>
        <v>0</v>
      </c>
      <c r="I33" s="177">
        <f t="shared" si="1"/>
        <v>1.7364951240000006E-2</v>
      </c>
      <c r="J33" s="177">
        <f t="shared" si="1"/>
        <v>1.3161716880000006E-2</v>
      </c>
      <c r="K33" s="177">
        <f t="shared" si="1"/>
        <v>1.0400885430000005E-2</v>
      </c>
      <c r="L33" s="177">
        <f t="shared" si="1"/>
        <v>-3.6071001200000015E-3</v>
      </c>
    </row>
    <row r="34" spans="1:12" x14ac:dyDescent="0.25">
      <c r="A34" s="33" t="s">
        <v>3132</v>
      </c>
      <c r="B34" s="177">
        <f>B18*B20</f>
        <v>0.22716666666666682</v>
      </c>
      <c r="C34" s="177">
        <f t="shared" ref="C34:L40" si="2">$B34*C63</f>
        <v>6.9687691166666716E-3</v>
      </c>
      <c r="D34" s="177">
        <f t="shared" si="2"/>
        <v>4.3427224500000028E-3</v>
      </c>
      <c r="E34" s="177">
        <f t="shared" si="2"/>
        <v>7.3986366000000046E-3</v>
      </c>
      <c r="F34" s="177">
        <f t="shared" si="2"/>
        <v>5.2872360166666696E-3</v>
      </c>
      <c r="G34" s="177">
        <f t="shared" si="2"/>
        <v>0</v>
      </c>
      <c r="H34" s="177">
        <f t="shared" si="2"/>
        <v>0</v>
      </c>
      <c r="I34" s="177">
        <f t="shared" si="2"/>
        <v>1.1012017750000007E-2</v>
      </c>
      <c r="J34" s="177">
        <f t="shared" si="2"/>
        <v>1.1109199650000007E-2</v>
      </c>
      <c r="K34" s="177">
        <f t="shared" si="2"/>
        <v>3.8604703333333357E-3</v>
      </c>
      <c r="L34" s="177">
        <f t="shared" si="2"/>
        <v>-2.5384739166666686E-3</v>
      </c>
    </row>
    <row r="35" spans="1:12" x14ac:dyDescent="0.25">
      <c r="A35" s="33" t="s">
        <v>3096</v>
      </c>
      <c r="B35" s="177">
        <f>B18*B22</f>
        <v>-0.75</v>
      </c>
      <c r="C35" s="177">
        <f t="shared" si="2"/>
        <v>7.09761E-2</v>
      </c>
      <c r="D35" s="177">
        <f t="shared" si="2"/>
        <v>7.8710775000000011E-2</v>
      </c>
      <c r="E35" s="177">
        <f t="shared" si="2"/>
        <v>7.7698875000000001E-2</v>
      </c>
      <c r="F35" s="177">
        <f t="shared" si="2"/>
        <v>6.95268E-2</v>
      </c>
      <c r="G35" s="177">
        <f t="shared" si="2"/>
        <v>7.0999725E-2</v>
      </c>
      <c r="H35" s="177">
        <f t="shared" si="2"/>
        <v>9.6690075000000014E-2</v>
      </c>
      <c r="I35" s="177">
        <f t="shared" si="2"/>
        <v>6.7356449999999998E-2</v>
      </c>
      <c r="J35" s="177">
        <f t="shared" si="2"/>
        <v>6.3780299999999998E-2</v>
      </c>
      <c r="K35" s="177">
        <f t="shared" si="2"/>
        <v>8.9340975000000003E-2</v>
      </c>
      <c r="L35" s="177">
        <f t="shared" si="2"/>
        <v>8.6654325000000004E-2</v>
      </c>
    </row>
    <row r="36" spans="1:12" x14ac:dyDescent="0.25">
      <c r="A36" s="33" t="s">
        <v>3133</v>
      </c>
      <c r="B36" s="177">
        <f>B18*B23</f>
        <v>-0.5</v>
      </c>
      <c r="C36" s="177">
        <f t="shared" si="2"/>
        <v>0.13528499999999999</v>
      </c>
      <c r="D36" s="177">
        <f t="shared" si="2"/>
        <v>0.1125974</v>
      </c>
      <c r="E36" s="177">
        <f t="shared" si="2"/>
        <v>0.1208771</v>
      </c>
      <c r="F36" s="177">
        <f t="shared" si="2"/>
        <v>0.10092625</v>
      </c>
      <c r="G36" s="177">
        <f t="shared" si="2"/>
        <v>0.17905204999999999</v>
      </c>
      <c r="H36" s="177">
        <f t="shared" si="2"/>
        <v>0.15204619999999999</v>
      </c>
      <c r="I36" s="177">
        <f t="shared" si="2"/>
        <v>0.12845205000000001</v>
      </c>
      <c r="J36" s="177">
        <f t="shared" si="2"/>
        <v>0.1053776</v>
      </c>
      <c r="K36" s="177">
        <f t="shared" si="2"/>
        <v>0.12402745</v>
      </c>
      <c r="L36" s="177">
        <f t="shared" si="2"/>
        <v>0.10618714999999999</v>
      </c>
    </row>
    <row r="37" spans="1:12" x14ac:dyDescent="0.25">
      <c r="A37" s="33" t="s">
        <v>3134</v>
      </c>
      <c r="B37" s="177">
        <f>B18*B24</f>
        <v>0</v>
      </c>
      <c r="C37" s="177">
        <f t="shared" si="2"/>
        <v>0</v>
      </c>
      <c r="D37" s="177">
        <f t="shared" si="2"/>
        <v>0</v>
      </c>
      <c r="E37" s="177">
        <f t="shared" si="2"/>
        <v>0</v>
      </c>
      <c r="F37" s="177">
        <f t="shared" si="2"/>
        <v>0</v>
      </c>
      <c r="G37" s="177">
        <f t="shared" si="2"/>
        <v>0</v>
      </c>
      <c r="H37" s="177">
        <f t="shared" si="2"/>
        <v>0</v>
      </c>
      <c r="I37" s="177">
        <f t="shared" si="2"/>
        <v>0</v>
      </c>
      <c r="J37" s="177">
        <f t="shared" si="2"/>
        <v>0</v>
      </c>
      <c r="K37" s="177">
        <f t="shared" si="2"/>
        <v>0</v>
      </c>
      <c r="L37" s="177">
        <f t="shared" si="2"/>
        <v>0</v>
      </c>
    </row>
    <row r="38" spans="1:12" x14ac:dyDescent="0.25">
      <c r="A38" s="33" t="s">
        <v>3135</v>
      </c>
      <c r="B38" s="177">
        <f>B18*B26</f>
        <v>-0.5</v>
      </c>
      <c r="C38" s="177">
        <f t="shared" si="2"/>
        <v>0</v>
      </c>
      <c r="D38" s="177">
        <f t="shared" si="2"/>
        <v>0</v>
      </c>
      <c r="E38" s="177">
        <f t="shared" si="2"/>
        <v>0</v>
      </c>
      <c r="F38" s="177">
        <f t="shared" si="2"/>
        <v>0</v>
      </c>
      <c r="G38" s="177">
        <f t="shared" si="2"/>
        <v>1.939E-3</v>
      </c>
      <c r="H38" s="177">
        <f t="shared" si="2"/>
        <v>-3.4063000000000001E-3</v>
      </c>
      <c r="I38" s="177">
        <f t="shared" si="2"/>
        <v>0</v>
      </c>
      <c r="J38" s="177">
        <f t="shared" si="2"/>
        <v>0</v>
      </c>
      <c r="K38" s="177">
        <f t="shared" si="2"/>
        <v>0</v>
      </c>
      <c r="L38" s="177">
        <f t="shared" si="2"/>
        <v>0</v>
      </c>
    </row>
    <row r="39" spans="1:12" x14ac:dyDescent="0.25">
      <c r="A39" s="33" t="s">
        <v>3136</v>
      </c>
      <c r="B39" s="177">
        <f>B18*B27</f>
        <v>0</v>
      </c>
      <c r="C39" s="177">
        <f t="shared" si="2"/>
        <v>0</v>
      </c>
      <c r="D39" s="177">
        <f t="shared" si="2"/>
        <v>0</v>
      </c>
      <c r="E39" s="177">
        <f t="shared" si="2"/>
        <v>0</v>
      </c>
      <c r="F39" s="177">
        <f t="shared" si="2"/>
        <v>0</v>
      </c>
      <c r="G39" s="177">
        <f t="shared" si="2"/>
        <v>0</v>
      </c>
      <c r="H39" s="177">
        <f t="shared" si="2"/>
        <v>0</v>
      </c>
      <c r="I39" s="177">
        <f t="shared" si="2"/>
        <v>0</v>
      </c>
      <c r="J39" s="177">
        <f t="shared" si="2"/>
        <v>0</v>
      </c>
      <c r="K39" s="177">
        <f t="shared" si="2"/>
        <v>0</v>
      </c>
      <c r="L39" s="177">
        <f t="shared" si="2"/>
        <v>0</v>
      </c>
    </row>
    <row r="40" spans="1:12" x14ac:dyDescent="0.25">
      <c r="A40" s="33" t="s">
        <v>2395</v>
      </c>
      <c r="B40" s="177">
        <v>1</v>
      </c>
      <c r="C40" s="177">
        <f t="shared" si="2"/>
        <v>-3.307728</v>
      </c>
      <c r="D40" s="177">
        <f t="shared" si="2"/>
        <v>-3.0311680000000001</v>
      </c>
      <c r="E40" s="177">
        <f t="shared" si="2"/>
        <v>-3.8199749999999999</v>
      </c>
      <c r="F40" s="177">
        <f t="shared" si="2"/>
        <v>-3.5006550000000001</v>
      </c>
      <c r="G40" s="177">
        <f t="shared" si="2"/>
        <v>-4.3104089999999999</v>
      </c>
      <c r="H40" s="177">
        <f t="shared" si="2"/>
        <v>-3.9463910000000002</v>
      </c>
      <c r="I40" s="177">
        <f t="shared" si="2"/>
        <v>-4.6087509999999998</v>
      </c>
      <c r="J40" s="177">
        <f t="shared" si="2"/>
        <v>-4.1567530000000001</v>
      </c>
      <c r="K40" s="177">
        <f t="shared" si="2"/>
        <v>-4.4091990000000001</v>
      </c>
      <c r="L40" s="177">
        <f t="shared" si="2"/>
        <v>-4.2088099999999997</v>
      </c>
    </row>
    <row r="41" spans="1:12" ht="14.45" customHeight="1" x14ac:dyDescent="0.25">
      <c r="A41" s="65" t="s">
        <v>3098</v>
      </c>
      <c r="B41" s="240" t="s">
        <v>3097</v>
      </c>
      <c r="C41" s="177">
        <f t="shared" ref="C41:L41" si="3">SUM(C18:C40)</f>
        <v>-1.7596084060883332</v>
      </c>
      <c r="D41" s="177">
        <f t="shared" si="3"/>
        <v>-1.6348242286533332</v>
      </c>
      <c r="E41" s="177">
        <f t="shared" si="3"/>
        <v>-2.2900437426049995</v>
      </c>
      <c r="F41" s="177">
        <f t="shared" si="3"/>
        <v>-2.1758128647850001</v>
      </c>
      <c r="G41" s="177">
        <f t="shared" si="3"/>
        <v>-2.4347494750000003</v>
      </c>
      <c r="H41" s="177">
        <f t="shared" si="3"/>
        <v>-2.1332066250000006</v>
      </c>
      <c r="I41" s="177">
        <f t="shared" si="3"/>
        <v>-3.0762725753066666</v>
      </c>
      <c r="J41" s="177">
        <f t="shared" si="3"/>
        <v>-2.8312082242666667</v>
      </c>
      <c r="K41" s="177">
        <f t="shared" si="3"/>
        <v>-2.8631059487666666</v>
      </c>
      <c r="L41" s="177">
        <f t="shared" si="3"/>
        <v>-2.901677582963333</v>
      </c>
    </row>
    <row r="42" spans="1:12" x14ac:dyDescent="0.25">
      <c r="A42" s="183" t="s">
        <v>3099</v>
      </c>
      <c r="B42" s="240"/>
      <c r="C42" s="184">
        <f>EXP(C41)/(1+EXP(C41))</f>
        <v>0.14683939095644824</v>
      </c>
      <c r="D42" s="184">
        <f t="shared" ref="D42:L42" si="4">EXP(D41)/(1+EXP(D41))</f>
        <v>0.16317056158151638</v>
      </c>
      <c r="E42" s="184">
        <f t="shared" si="4"/>
        <v>9.1950897536328721E-2</v>
      </c>
      <c r="F42" s="184">
        <f t="shared" si="4"/>
        <v>0.10194362642179755</v>
      </c>
      <c r="G42" s="184">
        <f t="shared" si="4"/>
        <v>8.0560967779142567E-2</v>
      </c>
      <c r="H42" s="184">
        <f t="shared" si="4"/>
        <v>0.10591096013400046</v>
      </c>
      <c r="I42" s="184">
        <f t="shared" si="4"/>
        <v>4.4096667638944001E-2</v>
      </c>
      <c r="J42" s="184">
        <f t="shared" si="4"/>
        <v>5.5660856263050118E-2</v>
      </c>
      <c r="K42" s="184">
        <f t="shared" si="4"/>
        <v>5.4007794606351675E-2</v>
      </c>
      <c r="L42" s="184">
        <f t="shared" si="4"/>
        <v>5.2070696442453601E-2</v>
      </c>
    </row>
    <row r="43" spans="1:12" x14ac:dyDescent="0.25">
      <c r="A43" s="183"/>
      <c r="B43" s="182"/>
      <c r="C43" s="184"/>
      <c r="D43" s="184"/>
      <c r="E43" s="184"/>
      <c r="F43" s="184"/>
      <c r="G43" s="184"/>
      <c r="H43" s="184"/>
      <c r="I43" s="184"/>
      <c r="J43" s="184"/>
      <c r="K43" s="184"/>
      <c r="L43" s="184"/>
    </row>
    <row r="44" spans="1:12" x14ac:dyDescent="0.25">
      <c r="A44" s="185" t="s">
        <v>3137</v>
      </c>
      <c r="B44" s="182"/>
      <c r="C44" s="184"/>
      <c r="D44" s="184"/>
      <c r="E44" s="184"/>
      <c r="F44" s="184"/>
      <c r="G44" s="184"/>
      <c r="H44" s="184"/>
      <c r="I44" s="184"/>
      <c r="J44" s="184"/>
      <c r="K44" s="184"/>
      <c r="L44" s="184"/>
    </row>
    <row r="45" spans="1:12" x14ac:dyDescent="0.25">
      <c r="A45" s="236" t="s">
        <v>3138</v>
      </c>
      <c r="C45" s="192" t="s">
        <v>35</v>
      </c>
      <c r="D45" s="192"/>
      <c r="E45" s="192" t="s">
        <v>36</v>
      </c>
      <c r="F45" s="192"/>
      <c r="G45" s="192" t="s">
        <v>327</v>
      </c>
      <c r="H45" s="192"/>
      <c r="I45" s="192" t="s">
        <v>328</v>
      </c>
      <c r="J45" s="192"/>
      <c r="K45" s="192" t="s">
        <v>39</v>
      </c>
      <c r="L45" s="192"/>
    </row>
    <row r="46" spans="1:12" x14ac:dyDescent="0.25">
      <c r="A46" s="236"/>
      <c r="B46" s="65"/>
      <c r="C46" s="124" t="s">
        <v>330</v>
      </c>
      <c r="D46" s="124" t="s">
        <v>331</v>
      </c>
      <c r="E46" s="124" t="s">
        <v>330</v>
      </c>
      <c r="F46" s="124" t="s">
        <v>331</v>
      </c>
      <c r="G46" s="124" t="s">
        <v>330</v>
      </c>
      <c r="H46" s="124" t="s">
        <v>331</v>
      </c>
      <c r="I46" s="124" t="s">
        <v>330</v>
      </c>
      <c r="J46" s="124" t="s">
        <v>331</v>
      </c>
      <c r="K46" s="124" t="s">
        <v>330</v>
      </c>
      <c r="L46" s="124" t="s">
        <v>331</v>
      </c>
    </row>
    <row r="47" spans="1:12" x14ac:dyDescent="0.25">
      <c r="A47" s="65" t="s">
        <v>3081</v>
      </c>
      <c r="C47" s="44">
        <v>0.79393290000000005</v>
      </c>
      <c r="D47" s="44">
        <v>0.7688528</v>
      </c>
      <c r="E47" s="44">
        <v>0.71988300000000005</v>
      </c>
      <c r="F47" s="44">
        <v>0.70998470000000002</v>
      </c>
      <c r="G47" s="44">
        <v>0.8998235</v>
      </c>
      <c r="H47" s="44">
        <v>0.89726419999999996</v>
      </c>
      <c r="I47" s="44">
        <v>0.75871460000000002</v>
      </c>
      <c r="J47" s="44">
        <v>0.74232830000000005</v>
      </c>
      <c r="K47" s="44">
        <v>0.69078490000000004</v>
      </c>
      <c r="L47" s="44">
        <v>0.72251299999999996</v>
      </c>
    </row>
    <row r="48" spans="1:12" x14ac:dyDescent="0.25">
      <c r="A48" s="65" t="s">
        <v>332</v>
      </c>
      <c r="C48" s="44">
        <v>3.05239E-2</v>
      </c>
      <c r="D48" s="44">
        <v>7.36174E-2</v>
      </c>
      <c r="E48" s="44">
        <v>0.1176967</v>
      </c>
      <c r="F48" s="44">
        <v>0.16586629999999999</v>
      </c>
      <c r="G48" s="44"/>
      <c r="H48" s="44"/>
      <c r="I48" s="44">
        <v>0.1810949</v>
      </c>
      <c r="J48" s="44">
        <v>0.25721090000000002</v>
      </c>
      <c r="K48" s="44">
        <v>5.34279E-2</v>
      </c>
      <c r="L48" s="44">
        <v>2.6334799999999998E-2</v>
      </c>
    </row>
    <row r="49" spans="1:12" x14ac:dyDescent="0.25">
      <c r="A49" s="65" t="s">
        <v>341</v>
      </c>
      <c r="C49" s="44">
        <v>-0.16068569999999999</v>
      </c>
      <c r="D49" s="44">
        <v>-9.5443100000000003E-2</v>
      </c>
      <c r="E49" s="44">
        <v>-0.15118500000000001</v>
      </c>
      <c r="F49" s="44">
        <v>-0.1144285</v>
      </c>
      <c r="G49" s="44"/>
      <c r="H49" s="44"/>
      <c r="I49" s="44">
        <v>-0.20145070000000001</v>
      </c>
      <c r="J49" s="44">
        <v>-0.18203739999999999</v>
      </c>
      <c r="K49" s="44">
        <v>-0.1055109</v>
      </c>
      <c r="L49" s="44">
        <v>-2.4895899999999999E-2</v>
      </c>
    </row>
    <row r="50" spans="1:12" x14ac:dyDescent="0.25">
      <c r="A50" s="65" t="s">
        <v>350</v>
      </c>
      <c r="C50" s="44">
        <v>-0.23940030000000001</v>
      </c>
      <c r="D50" s="44">
        <v>-0.43473450000000002</v>
      </c>
      <c r="E50" s="44">
        <v>-8.3535799999999993E-2</v>
      </c>
      <c r="F50" s="44">
        <v>-0.28372120000000001</v>
      </c>
      <c r="G50" s="44">
        <v>-0.45597710000000002</v>
      </c>
      <c r="H50" s="44">
        <v>-0.68114660000000005</v>
      </c>
      <c r="I50" s="44">
        <v>-8.8182700000000003E-2</v>
      </c>
      <c r="J50" s="44">
        <v>-0.3174515</v>
      </c>
      <c r="K50" s="44">
        <v>-0.113078</v>
      </c>
      <c r="L50" s="44">
        <v>-0.26810400000000001</v>
      </c>
    </row>
    <row r="51" spans="1:12" x14ac:dyDescent="0.25">
      <c r="A51" s="65" t="s">
        <v>361</v>
      </c>
      <c r="C51" s="44">
        <v>0.36007810000000001</v>
      </c>
      <c r="D51" s="44">
        <v>0.3362658</v>
      </c>
      <c r="E51" s="44">
        <v>0.35928520000000003</v>
      </c>
      <c r="F51" s="44">
        <v>0.3239977</v>
      </c>
      <c r="G51" s="44">
        <v>0.35765049999999998</v>
      </c>
      <c r="H51" s="44">
        <v>0.36344609999999999</v>
      </c>
      <c r="I51" s="44">
        <v>0.35477310000000001</v>
      </c>
      <c r="J51" s="44">
        <v>0.312778</v>
      </c>
      <c r="K51" s="44">
        <v>0.36652170000000001</v>
      </c>
      <c r="L51" s="44">
        <v>0.34746339999999998</v>
      </c>
    </row>
    <row r="52" spans="1:12" x14ac:dyDescent="0.25">
      <c r="A52" s="65" t="s">
        <v>372</v>
      </c>
      <c r="C52" s="44">
        <v>0.86676039999999999</v>
      </c>
      <c r="D52" s="44">
        <v>0.76928569999999996</v>
      </c>
      <c r="E52" s="44">
        <v>0.83485849999999995</v>
      </c>
      <c r="F52" s="44">
        <v>0.71895969999999998</v>
      </c>
      <c r="G52" s="44">
        <v>1.038346</v>
      </c>
      <c r="H52" s="44">
        <v>0.92377600000000004</v>
      </c>
      <c r="I52" s="44">
        <v>0.9045358</v>
      </c>
      <c r="J52" s="44">
        <v>0.74852490000000005</v>
      </c>
      <c r="K52" s="44">
        <v>0.80137210000000003</v>
      </c>
      <c r="L52" s="44">
        <v>0.68469899999999995</v>
      </c>
    </row>
    <row r="53" spans="1:12" ht="14.45" customHeight="1" x14ac:dyDescent="0.25">
      <c r="A53" s="65" t="s">
        <v>383</v>
      </c>
      <c r="C53" s="44">
        <v>0.53607389999999999</v>
      </c>
      <c r="D53" s="44">
        <v>0.4386871</v>
      </c>
      <c r="E53" s="44">
        <v>0.48310779999999998</v>
      </c>
      <c r="F53" s="44">
        <v>0.39569729999999997</v>
      </c>
      <c r="G53" s="44">
        <v>0.58391599999999999</v>
      </c>
      <c r="H53" s="44">
        <v>0.50237359999999998</v>
      </c>
      <c r="I53" s="44">
        <v>0.54109169999999995</v>
      </c>
      <c r="J53" s="44">
        <v>0.39120470000000002</v>
      </c>
      <c r="K53" s="44">
        <v>0.41870390000000002</v>
      </c>
      <c r="L53" s="44">
        <v>0.38748440000000001</v>
      </c>
    </row>
    <row r="54" spans="1:12" ht="14.45" customHeight="1" x14ac:dyDescent="0.25">
      <c r="A54" s="65" t="s">
        <v>393</v>
      </c>
      <c r="C54" s="44"/>
      <c r="D54" s="44"/>
      <c r="E54" s="44"/>
      <c r="F54" s="44"/>
      <c r="G54" s="44">
        <v>-7.2294000000000004E-3</v>
      </c>
      <c r="H54" s="44">
        <v>-4.8584099999999998E-2</v>
      </c>
      <c r="I54" s="44"/>
      <c r="J54" s="44"/>
      <c r="K54" s="44"/>
      <c r="L54" s="44"/>
    </row>
    <row r="55" spans="1:12" ht="14.45" customHeight="1" x14ac:dyDescent="0.25">
      <c r="A55" s="65" t="s">
        <v>396</v>
      </c>
      <c r="C55" s="44"/>
      <c r="D55" s="44"/>
      <c r="E55" s="44"/>
      <c r="F55" s="44"/>
      <c r="G55" s="44">
        <v>0.2997706</v>
      </c>
      <c r="H55" s="44">
        <v>0.37269289999999999</v>
      </c>
      <c r="I55" s="44"/>
      <c r="J55" s="44"/>
      <c r="K55" s="44"/>
      <c r="L55" s="44"/>
    </row>
    <row r="56" spans="1:12" ht="14.45" customHeight="1" x14ac:dyDescent="0.25">
      <c r="A56" s="65" t="s">
        <v>399</v>
      </c>
      <c r="C56" s="44">
        <v>0.60459169999999995</v>
      </c>
      <c r="D56" s="44">
        <v>0.53789790000000004</v>
      </c>
      <c r="E56" s="44">
        <v>0.4864619</v>
      </c>
      <c r="F56" s="44">
        <v>0.36900749999999999</v>
      </c>
      <c r="G56" s="44">
        <v>0.74516380000000004</v>
      </c>
      <c r="H56" s="44">
        <v>0.69269170000000002</v>
      </c>
      <c r="I56" s="44">
        <v>0.51987249999999996</v>
      </c>
      <c r="J56" s="44">
        <v>0.37648700000000002</v>
      </c>
      <c r="K56" s="44">
        <v>0.45397670000000001</v>
      </c>
      <c r="L56" s="44">
        <v>0.38778269999999998</v>
      </c>
    </row>
    <row r="57" spans="1:12" x14ac:dyDescent="0.25">
      <c r="A57" s="65" t="s">
        <v>410</v>
      </c>
      <c r="C57" s="44">
        <v>4.3376900000000003E-2</v>
      </c>
      <c r="D57" s="44">
        <v>1.6482699999999999E-2</v>
      </c>
      <c r="E57" s="44">
        <v>3.9777899999999998E-2</v>
      </c>
      <c r="F57" s="44">
        <v>2.0361899999999999E-2</v>
      </c>
      <c r="G57" s="44">
        <v>5.57087E-2</v>
      </c>
      <c r="H57" s="44">
        <v>2.5182699999999999E-2</v>
      </c>
      <c r="I57" s="44">
        <v>3.2593499999999997E-2</v>
      </c>
      <c r="J57" s="44">
        <v>1.9368699999999999E-2</v>
      </c>
      <c r="K57" s="44">
        <v>5.1508699999999998E-2</v>
      </c>
      <c r="L57" s="44">
        <v>2.0196499999999999E-2</v>
      </c>
    </row>
    <row r="58" spans="1:12" x14ac:dyDescent="0.25">
      <c r="A58" s="65" t="s">
        <v>420</v>
      </c>
      <c r="C58" s="44">
        <v>0.31516719999999998</v>
      </c>
      <c r="D58" s="44">
        <v>0.288879</v>
      </c>
      <c r="E58" s="44">
        <v>0.22653090000000001</v>
      </c>
      <c r="F58" s="44">
        <v>0.20365220000000001</v>
      </c>
      <c r="G58" s="44">
        <v>0.35344419999999999</v>
      </c>
      <c r="H58" s="44">
        <v>0.29809219999999997</v>
      </c>
      <c r="I58" s="44">
        <v>0.2010642</v>
      </c>
      <c r="J58" s="44">
        <v>0.15881990000000001</v>
      </c>
      <c r="K58" s="44">
        <v>0.2494624</v>
      </c>
      <c r="L58" s="44">
        <v>0.232963</v>
      </c>
    </row>
    <row r="59" spans="1:12" ht="14.45" customHeight="1" x14ac:dyDescent="0.25">
      <c r="A59" s="65" t="s">
        <v>431</v>
      </c>
      <c r="C59" s="44">
        <v>-0.14776549999999999</v>
      </c>
      <c r="D59" s="44">
        <v>-0.13373489999999999</v>
      </c>
      <c r="E59" s="44">
        <v>-5.9237400000000003E-2</v>
      </c>
      <c r="F59" s="44">
        <v>-8.6558099999999999E-2</v>
      </c>
      <c r="G59" s="44"/>
      <c r="H59" s="44"/>
      <c r="I59" s="44">
        <v>-3.6194999999999998E-2</v>
      </c>
      <c r="J59" s="44">
        <v>-4.9455499999999999E-2</v>
      </c>
      <c r="K59" s="44">
        <v>-7.9882900000000007E-2</v>
      </c>
      <c r="L59" s="44">
        <v>-0.1178935</v>
      </c>
    </row>
    <row r="60" spans="1:12" ht="14.45" customHeight="1" x14ac:dyDescent="0.25">
      <c r="A60" s="65" t="s">
        <v>440</v>
      </c>
      <c r="C60" s="44">
        <v>-6.6361199999999995E-2</v>
      </c>
      <c r="D60" s="44">
        <v>-4.75924E-2</v>
      </c>
      <c r="E60" s="44">
        <v>-3.9576199999999999E-2</v>
      </c>
      <c r="F60" s="44">
        <v>-3.2291599999999997E-2</v>
      </c>
      <c r="G60" s="44">
        <v>-9.8151100000000005E-2</v>
      </c>
      <c r="H60" s="44">
        <v>-4.9773100000000001E-2</v>
      </c>
      <c r="I60" s="44">
        <v>-8.9123800000000003E-2</v>
      </c>
      <c r="J60" s="44">
        <v>-5.7785099999999999E-2</v>
      </c>
      <c r="K60" s="44">
        <v>-7.9039000000000002E-3</v>
      </c>
      <c r="L60" s="44">
        <v>1.20926E-2</v>
      </c>
    </row>
    <row r="61" spans="1:12" x14ac:dyDescent="0.25">
      <c r="A61" s="65" t="s">
        <v>451</v>
      </c>
      <c r="C61" s="44">
        <v>0.1197879</v>
      </c>
      <c r="D61" s="44">
        <v>0.15027299999999999</v>
      </c>
      <c r="E61" s="44">
        <v>8.4442299999999998E-2</v>
      </c>
      <c r="F61" s="44">
        <v>0.114563</v>
      </c>
      <c r="G61" s="44"/>
      <c r="H61" s="44"/>
      <c r="I61" s="44">
        <v>7.5071600000000002E-2</v>
      </c>
      <c r="J61" s="44">
        <v>8.0976500000000007E-2</v>
      </c>
      <c r="K61" s="44">
        <v>8.3310099999999998E-2</v>
      </c>
      <c r="L61" s="44">
        <v>0.15573899999999999</v>
      </c>
    </row>
    <row r="62" spans="1:12" x14ac:dyDescent="0.25">
      <c r="A62" s="65" t="s">
        <v>460</v>
      </c>
      <c r="C62" s="44">
        <v>-8.1971500000000003E-2</v>
      </c>
      <c r="D62" s="44">
        <v>-5.1787399999999997E-2</v>
      </c>
      <c r="E62" s="44">
        <v>-5.6783899999999998E-2</v>
      </c>
      <c r="F62" s="44">
        <v>-3.0000499999999999E-2</v>
      </c>
      <c r="I62" s="44">
        <v>-6.83256E-2</v>
      </c>
      <c r="J62" s="44">
        <v>-5.1787199999999999E-2</v>
      </c>
      <c r="K62" s="44">
        <v>-4.0924200000000001E-2</v>
      </c>
      <c r="L62" s="44">
        <v>1.41928E-2</v>
      </c>
    </row>
    <row r="63" spans="1:12" x14ac:dyDescent="0.25">
      <c r="A63" s="65" t="s">
        <v>3079</v>
      </c>
      <c r="C63" s="44">
        <v>3.06769E-2</v>
      </c>
      <c r="D63" s="44">
        <v>1.9116899999999999E-2</v>
      </c>
      <c r="E63" s="44">
        <v>3.25692E-2</v>
      </c>
      <c r="F63" s="44">
        <v>2.3274699999999999E-2</v>
      </c>
      <c r="G63" s="44"/>
      <c r="H63" s="44"/>
      <c r="I63" s="44">
        <v>4.8475499999999998E-2</v>
      </c>
      <c r="J63" s="44">
        <v>4.8903299999999997E-2</v>
      </c>
      <c r="K63" s="44">
        <v>1.6993999999999999E-2</v>
      </c>
      <c r="L63" s="44">
        <v>-1.11745E-2</v>
      </c>
    </row>
    <row r="64" spans="1:12" x14ac:dyDescent="0.25">
      <c r="A64" s="65" t="s">
        <v>475</v>
      </c>
      <c r="C64" s="44">
        <v>-9.4634800000000005E-2</v>
      </c>
      <c r="D64" s="44">
        <v>-0.1049477</v>
      </c>
      <c r="E64" s="44">
        <v>-0.1035985</v>
      </c>
      <c r="F64" s="44">
        <v>-9.2702400000000004E-2</v>
      </c>
      <c r="G64" s="44">
        <v>-9.4666299999999995E-2</v>
      </c>
      <c r="H64" s="44">
        <v>-0.12892010000000001</v>
      </c>
      <c r="I64" s="44">
        <v>-8.9808600000000002E-2</v>
      </c>
      <c r="J64" s="44">
        <v>-8.5040400000000002E-2</v>
      </c>
      <c r="K64" s="44">
        <v>-0.1191213</v>
      </c>
      <c r="L64" s="44">
        <v>-0.11553910000000001</v>
      </c>
    </row>
    <row r="65" spans="1:14" x14ac:dyDescent="0.25">
      <c r="A65" s="65" t="s">
        <v>481</v>
      </c>
      <c r="C65" s="44">
        <v>-0.27056999999999998</v>
      </c>
      <c r="D65" s="44">
        <v>-0.2251948</v>
      </c>
      <c r="E65" s="44">
        <v>-0.2417542</v>
      </c>
      <c r="F65" s="44">
        <v>-0.20185249999999999</v>
      </c>
      <c r="G65" s="44">
        <v>-0.35810409999999998</v>
      </c>
      <c r="H65" s="44">
        <v>-0.30409239999999998</v>
      </c>
      <c r="I65" s="44">
        <v>-0.25690410000000002</v>
      </c>
      <c r="J65" s="44">
        <v>-0.2107552</v>
      </c>
      <c r="K65" s="44">
        <v>-0.24805489999999999</v>
      </c>
      <c r="L65" s="44">
        <v>-0.21237429999999999</v>
      </c>
    </row>
    <row r="66" spans="1:14" x14ac:dyDescent="0.25">
      <c r="A66" s="65" t="s">
        <v>492</v>
      </c>
      <c r="C66" s="44">
        <v>-7.8714999999999993E-2</v>
      </c>
      <c r="D66" s="44">
        <v>-8.9506699999999995E-2</v>
      </c>
      <c r="E66" s="44">
        <v>-7.9114199999999996E-2</v>
      </c>
      <c r="F66" s="44">
        <v>-9.7052700000000006E-2</v>
      </c>
      <c r="G66" s="44">
        <v>-0.1159453</v>
      </c>
      <c r="H66" s="44">
        <v>-0.14016880000000001</v>
      </c>
      <c r="I66" s="44">
        <v>-7.86607E-2</v>
      </c>
      <c r="J66" s="44">
        <v>-0.1206397</v>
      </c>
      <c r="K66" s="44">
        <v>-9.9806300000000001E-2</v>
      </c>
      <c r="L66" s="44">
        <v>-8.2413299999999995E-2</v>
      </c>
    </row>
    <row r="67" spans="1:14" x14ac:dyDescent="0.25">
      <c r="A67" s="65" t="s">
        <v>501</v>
      </c>
      <c r="E67" s="44"/>
      <c r="F67" s="44"/>
      <c r="G67" s="44">
        <v>-3.8779999999999999E-3</v>
      </c>
      <c r="H67" s="44">
        <v>6.8126000000000003E-3</v>
      </c>
      <c r="I67" s="44"/>
      <c r="J67" s="44"/>
      <c r="K67" s="44"/>
      <c r="L67" s="44"/>
    </row>
    <row r="68" spans="1:14" x14ac:dyDescent="0.25">
      <c r="A68" s="65" t="s">
        <v>504</v>
      </c>
      <c r="C68" s="44">
        <v>-0.1637806</v>
      </c>
      <c r="D68" s="44">
        <v>-0.15437020000000001</v>
      </c>
      <c r="E68" s="44">
        <v>-0.1671492</v>
      </c>
      <c r="F68" s="44">
        <v>-0.1217081</v>
      </c>
      <c r="G68" s="44">
        <v>-0.18842890000000001</v>
      </c>
      <c r="H68" s="44">
        <v>-0.17977779999999999</v>
      </c>
      <c r="I68" s="44">
        <v>-0.15975130000000001</v>
      </c>
      <c r="J68" s="44">
        <v>-7.7950000000000005E-2</v>
      </c>
      <c r="K68" s="44">
        <v>-0.17590749999999999</v>
      </c>
      <c r="L68" s="44">
        <v>-0.18078900000000001</v>
      </c>
    </row>
    <row r="69" spans="1:14" x14ac:dyDescent="0.25">
      <c r="A69" s="65" t="s">
        <v>2395</v>
      </c>
      <c r="C69" s="44">
        <v>-3.307728</v>
      </c>
      <c r="D69" s="44">
        <v>-3.0311680000000001</v>
      </c>
      <c r="E69" s="44">
        <v>-3.8199749999999999</v>
      </c>
      <c r="F69" s="44">
        <v>-3.5006550000000001</v>
      </c>
      <c r="G69" s="44">
        <v>-4.3104089999999999</v>
      </c>
      <c r="H69" s="44">
        <v>-3.9463910000000002</v>
      </c>
      <c r="I69" s="44">
        <v>-4.6087509999999998</v>
      </c>
      <c r="J69" s="44">
        <v>-4.1567530000000001</v>
      </c>
      <c r="K69" s="44">
        <v>-4.4091990000000001</v>
      </c>
      <c r="L69" s="44">
        <v>-4.2088099999999997</v>
      </c>
    </row>
    <row r="70" spans="1:14" ht="58.35" customHeight="1" x14ac:dyDescent="0.25">
      <c r="A70" s="239" t="s">
        <v>3139</v>
      </c>
      <c r="B70" s="239"/>
      <c r="C70" s="239"/>
      <c r="D70" s="239"/>
      <c r="E70" s="239"/>
      <c r="F70" s="239"/>
      <c r="G70" s="239"/>
      <c r="H70" s="239"/>
      <c r="I70" s="239"/>
      <c r="J70" s="239"/>
      <c r="K70" s="239"/>
      <c r="L70" s="239"/>
      <c r="M70" s="186"/>
      <c r="N70" s="186"/>
    </row>
    <row r="71" spans="1:14" x14ac:dyDescent="0.25">
      <c r="A71" s="33" t="s">
        <v>3140</v>
      </c>
      <c r="B71" s="65"/>
      <c r="C71" s="44">
        <v>0.99970000000000003</v>
      </c>
      <c r="D71" s="118">
        <v>0.99919999999999998</v>
      </c>
      <c r="E71" s="44">
        <v>0.99960000000000004</v>
      </c>
      <c r="F71" s="44">
        <v>0.99890000000000001</v>
      </c>
      <c r="G71" s="44">
        <v>0.99970000000000003</v>
      </c>
      <c r="H71" s="44">
        <v>0.99929999999999997</v>
      </c>
      <c r="I71" s="44">
        <v>0.99950000000000006</v>
      </c>
      <c r="J71" s="44">
        <v>0.99880000000000002</v>
      </c>
      <c r="K71" s="44">
        <v>0.99939999999999996</v>
      </c>
      <c r="L71" s="44">
        <v>0.99870000000000003</v>
      </c>
    </row>
    <row r="72" spans="1:14" x14ac:dyDescent="0.25">
      <c r="E72" s="44"/>
      <c r="F72" s="118"/>
      <c r="G72" s="44"/>
      <c r="H72" s="44"/>
      <c r="I72" s="44"/>
      <c r="J72" s="44"/>
      <c r="K72" s="44"/>
      <c r="L72" s="44"/>
      <c r="M72" s="44"/>
      <c r="N72" s="44"/>
    </row>
    <row r="73" spans="1:14" x14ac:dyDescent="0.25">
      <c r="A73" s="65"/>
      <c r="B73" s="65"/>
      <c r="C73" s="65"/>
      <c r="D73" s="65"/>
      <c r="E73" s="44"/>
      <c r="F73" s="118"/>
      <c r="G73" s="44"/>
      <c r="H73" s="44"/>
      <c r="I73" s="44"/>
      <c r="J73" s="44"/>
      <c r="K73" s="44"/>
      <c r="L73" s="44"/>
      <c r="M73" s="44"/>
      <c r="N73" s="44"/>
    </row>
    <row r="74" spans="1:14" x14ac:dyDescent="0.25">
      <c r="A74" s="65"/>
      <c r="B74" s="65"/>
      <c r="C74" s="44"/>
      <c r="D74" s="44"/>
      <c r="E74" s="44"/>
      <c r="F74" s="118"/>
      <c r="G74" s="44"/>
      <c r="H74" s="44"/>
      <c r="I74" s="44"/>
      <c r="J74" s="44"/>
      <c r="K74" s="44"/>
      <c r="L74" s="44"/>
    </row>
    <row r="75" spans="1:14" x14ac:dyDescent="0.25">
      <c r="A75" s="65"/>
      <c r="B75" s="65"/>
      <c r="C75" s="118"/>
      <c r="D75" s="118"/>
      <c r="E75" s="118"/>
      <c r="F75" s="118"/>
      <c r="G75" s="118"/>
      <c r="H75" s="118"/>
      <c r="I75" s="118"/>
      <c r="J75" s="118"/>
      <c r="K75" s="118"/>
      <c r="L75" s="118"/>
    </row>
  </sheetData>
  <mergeCells count="21">
    <mergeCell ref="E3:N3"/>
    <mergeCell ref="E4:F4"/>
    <mergeCell ref="G4:H4"/>
    <mergeCell ref="I4:J4"/>
    <mergeCell ref="K4:L4"/>
    <mergeCell ref="M4:N4"/>
    <mergeCell ref="A70:L70"/>
    <mergeCell ref="K16:L16"/>
    <mergeCell ref="B41:B42"/>
    <mergeCell ref="A45:A46"/>
    <mergeCell ref="C45:D45"/>
    <mergeCell ref="E45:F45"/>
    <mergeCell ref="G45:H45"/>
    <mergeCell ref="I45:J45"/>
    <mergeCell ref="K45:L45"/>
    <mergeCell ref="A16:A17"/>
    <mergeCell ref="B16:B17"/>
    <mergeCell ref="C16:D16"/>
    <mergeCell ref="E16:F16"/>
    <mergeCell ref="G16:H16"/>
    <mergeCell ref="I16:J16"/>
  </mergeCells>
  <pageMargins left="0.25" right="0.25" top="0.75" bottom="0.75" header="0.3" footer="0.3"/>
  <pageSetup scale="88" orientation="landscape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7DC1E-AE83-4F6A-BF94-1F11D2D738F8}">
  <sheetPr>
    <pageSetUpPr fitToPage="1"/>
  </sheetPr>
  <dimension ref="A1:N79"/>
  <sheetViews>
    <sheetView topLeftCell="A58" workbookViewId="0">
      <selection activeCell="A77" sqref="A77"/>
    </sheetView>
  </sheetViews>
  <sheetFormatPr defaultColWidth="8.85546875" defaultRowHeight="15" x14ac:dyDescent="0.25"/>
  <cols>
    <col min="1" max="1" width="48.42578125" style="33" customWidth="1"/>
    <col min="2" max="2" width="23.85546875" style="33" customWidth="1"/>
    <col min="3" max="3" width="11.5703125" style="33" customWidth="1"/>
    <col min="4" max="12" width="11.42578125" style="33" customWidth="1"/>
    <col min="13" max="14" width="11.140625" style="33" customWidth="1"/>
    <col min="15" max="16384" width="8.85546875" style="33"/>
  </cols>
  <sheetData>
    <row r="1" spans="1:14" x14ac:dyDescent="0.25">
      <c r="A1" s="65" t="s">
        <v>3141</v>
      </c>
      <c r="B1" s="65"/>
      <c r="C1" s="65"/>
      <c r="D1" s="65"/>
    </row>
    <row r="2" spans="1:14" ht="15.75" thickBot="1" x14ac:dyDescent="0.3">
      <c r="A2" s="65"/>
      <c r="B2" s="65"/>
      <c r="C2" s="65"/>
      <c r="D2" s="65"/>
    </row>
    <row r="3" spans="1:14" x14ac:dyDescent="0.25">
      <c r="A3" s="166" t="s">
        <v>3108</v>
      </c>
      <c r="B3" s="167" t="s">
        <v>3082</v>
      </c>
      <c r="C3" s="168" t="s">
        <v>3107</v>
      </c>
      <c r="D3" s="65"/>
      <c r="E3" s="241" t="s">
        <v>3111</v>
      </c>
      <c r="F3" s="242"/>
      <c r="G3" s="242"/>
      <c r="H3" s="242"/>
      <c r="I3" s="242"/>
      <c r="J3" s="242"/>
      <c r="K3" s="242"/>
      <c r="L3" s="242"/>
      <c r="M3" s="242"/>
      <c r="N3" s="243"/>
    </row>
    <row r="4" spans="1:14" x14ac:dyDescent="0.25">
      <c r="A4" s="169" t="s">
        <v>3112</v>
      </c>
      <c r="B4" s="33" t="s">
        <v>3083</v>
      </c>
      <c r="C4" s="170">
        <v>50</v>
      </c>
      <c r="D4" s="65"/>
      <c r="E4" s="244" t="s">
        <v>35</v>
      </c>
      <c r="F4" s="192"/>
      <c r="G4" s="192" t="s">
        <v>36</v>
      </c>
      <c r="H4" s="192"/>
      <c r="I4" s="192" t="s">
        <v>327</v>
      </c>
      <c r="J4" s="192"/>
      <c r="K4" s="192" t="s">
        <v>328</v>
      </c>
      <c r="L4" s="192"/>
      <c r="M4" s="192" t="s">
        <v>39</v>
      </c>
      <c r="N4" s="245"/>
    </row>
    <row r="5" spans="1:14" x14ac:dyDescent="0.25">
      <c r="A5" s="169" t="s">
        <v>3113</v>
      </c>
      <c r="B5" s="33" t="s">
        <v>3084</v>
      </c>
      <c r="C5" s="170">
        <v>200</v>
      </c>
      <c r="D5" s="65"/>
      <c r="E5" s="171" t="s">
        <v>330</v>
      </c>
      <c r="F5" s="124" t="s">
        <v>331</v>
      </c>
      <c r="G5" s="124" t="s">
        <v>330</v>
      </c>
      <c r="H5" s="124" t="s">
        <v>331</v>
      </c>
      <c r="I5" s="124" t="s">
        <v>330</v>
      </c>
      <c r="J5" s="124" t="s">
        <v>331</v>
      </c>
      <c r="K5" s="124" t="s">
        <v>330</v>
      </c>
      <c r="L5" s="124" t="s">
        <v>331</v>
      </c>
      <c r="M5" s="124" t="s">
        <v>330</v>
      </c>
      <c r="N5" s="172" t="s">
        <v>331</v>
      </c>
    </row>
    <row r="6" spans="1:14" ht="15.75" thickBot="1" x14ac:dyDescent="0.3">
      <c r="A6" s="169" t="s">
        <v>3114</v>
      </c>
      <c r="B6" s="33" t="s">
        <v>3085</v>
      </c>
      <c r="C6" s="170">
        <v>45</v>
      </c>
      <c r="D6" s="65"/>
      <c r="E6" s="173">
        <f t="shared" ref="E6:N6" si="0">C44</f>
        <v>0.15992298123481016</v>
      </c>
      <c r="F6" s="174">
        <f t="shared" si="0"/>
        <v>0.17178743324234846</v>
      </c>
      <c r="G6" s="174">
        <f t="shared" si="0"/>
        <v>9.9442723088078722E-2</v>
      </c>
      <c r="H6" s="174">
        <f t="shared" si="0"/>
        <v>0.10970272324914827</v>
      </c>
      <c r="I6" s="174">
        <f t="shared" si="0"/>
        <v>8.93240911620721E-2</v>
      </c>
      <c r="J6" s="174">
        <f t="shared" si="0"/>
        <v>0.10989590417895433</v>
      </c>
      <c r="K6" s="174">
        <f t="shared" si="0"/>
        <v>4.8085741586070721E-2</v>
      </c>
      <c r="L6" s="174">
        <f t="shared" si="0"/>
        <v>5.9068857769673133E-2</v>
      </c>
      <c r="M6" s="174">
        <f t="shared" si="0"/>
        <v>5.8572838843231667E-2</v>
      </c>
      <c r="N6" s="175">
        <f t="shared" si="0"/>
        <v>5.5859095220003041E-2</v>
      </c>
    </row>
    <row r="7" spans="1:14" x14ac:dyDescent="0.25">
      <c r="A7" s="176" t="s">
        <v>3115</v>
      </c>
      <c r="B7" s="156" t="s">
        <v>3086</v>
      </c>
      <c r="C7" s="170">
        <v>160</v>
      </c>
      <c r="D7" s="65"/>
      <c r="E7" s="33" t="s">
        <v>3159</v>
      </c>
    </row>
    <row r="8" spans="1:14" x14ac:dyDescent="0.25">
      <c r="A8" s="169" t="s">
        <v>3087</v>
      </c>
      <c r="B8" s="177" t="s">
        <v>3088</v>
      </c>
      <c r="C8" s="170">
        <v>1</v>
      </c>
      <c r="D8" s="65"/>
    </row>
    <row r="9" spans="1:14" x14ac:dyDescent="0.25">
      <c r="A9" s="169" t="s">
        <v>3116</v>
      </c>
      <c r="B9" s="177" t="s">
        <v>3088</v>
      </c>
      <c r="C9" s="170">
        <v>0</v>
      </c>
      <c r="D9" s="65"/>
    </row>
    <row r="10" spans="1:14" ht="14.45" customHeight="1" x14ac:dyDescent="0.25">
      <c r="A10" s="178" t="s">
        <v>3117</v>
      </c>
      <c r="B10" s="156" t="s">
        <v>3118</v>
      </c>
      <c r="C10" s="170">
        <v>35</v>
      </c>
      <c r="D10" s="65"/>
      <c r="E10" s="118"/>
      <c r="F10" s="118"/>
      <c r="G10" s="118"/>
      <c r="H10" s="118"/>
      <c r="I10" s="118"/>
      <c r="J10" s="118"/>
      <c r="K10" s="118"/>
      <c r="L10" s="118"/>
      <c r="M10" s="118"/>
      <c r="N10" s="118"/>
    </row>
    <row r="11" spans="1:14" ht="14.45" customHeight="1" x14ac:dyDescent="0.25">
      <c r="A11" s="176" t="s">
        <v>3119</v>
      </c>
      <c r="B11" s="156" t="s">
        <v>3120</v>
      </c>
      <c r="C11" s="170">
        <v>90</v>
      </c>
      <c r="D11" s="65"/>
      <c r="E11" s="118"/>
      <c r="F11" s="118"/>
      <c r="G11" s="118"/>
      <c r="H11" s="118"/>
      <c r="I11" s="118"/>
      <c r="J11" s="118"/>
      <c r="K11" s="118"/>
      <c r="L11" s="118"/>
      <c r="M11" s="118"/>
      <c r="N11" s="118"/>
    </row>
    <row r="12" spans="1:14" x14ac:dyDescent="0.25">
      <c r="A12" s="169" t="s">
        <v>3121</v>
      </c>
      <c r="B12" s="177" t="s">
        <v>3088</v>
      </c>
      <c r="C12" s="170">
        <v>1</v>
      </c>
      <c r="D12" s="65"/>
      <c r="E12" s="118"/>
      <c r="F12" s="118"/>
      <c r="G12" s="118"/>
      <c r="H12" s="118"/>
      <c r="I12" s="118"/>
      <c r="J12" s="118"/>
      <c r="K12" s="118"/>
      <c r="L12" s="118"/>
      <c r="M12" s="118"/>
      <c r="N12" s="118"/>
    </row>
    <row r="13" spans="1:14" x14ac:dyDescent="0.25">
      <c r="A13" s="169" t="s">
        <v>3089</v>
      </c>
      <c r="B13" s="177" t="s">
        <v>3088</v>
      </c>
      <c r="C13" s="170">
        <v>0</v>
      </c>
      <c r="D13" s="65"/>
      <c r="E13" s="118"/>
      <c r="F13" s="118"/>
      <c r="G13" s="118"/>
      <c r="H13" s="118"/>
      <c r="I13" s="118"/>
      <c r="J13" s="118"/>
      <c r="K13" s="118"/>
      <c r="L13" s="118"/>
      <c r="M13" s="118"/>
      <c r="N13" s="118"/>
    </row>
    <row r="14" spans="1:14" ht="15.75" thickBot="1" x14ac:dyDescent="0.3">
      <c r="A14" s="179" t="s">
        <v>3142</v>
      </c>
      <c r="B14" s="187" t="s">
        <v>3100</v>
      </c>
      <c r="C14" s="181">
        <v>40</v>
      </c>
      <c r="D14" s="65"/>
      <c r="E14" s="118"/>
      <c r="F14" s="118"/>
      <c r="G14" s="118"/>
      <c r="H14" s="118"/>
      <c r="I14" s="118"/>
      <c r="J14" s="118"/>
      <c r="K14" s="118"/>
      <c r="L14" s="118"/>
      <c r="M14" s="118"/>
      <c r="N14" s="118"/>
    </row>
    <row r="15" spans="1:14" x14ac:dyDescent="0.25">
      <c r="A15" s="65"/>
      <c r="B15" s="65"/>
      <c r="C15" s="65"/>
      <c r="D15" s="65"/>
      <c r="E15" s="118"/>
      <c r="F15" s="118"/>
      <c r="G15" s="118"/>
      <c r="H15" s="118"/>
      <c r="I15" s="118"/>
      <c r="J15" s="118"/>
      <c r="K15" s="118"/>
      <c r="L15" s="118"/>
      <c r="M15" s="118"/>
      <c r="N15" s="118"/>
    </row>
    <row r="16" spans="1:14" x14ac:dyDescent="0.25">
      <c r="A16" s="65" t="s">
        <v>3122</v>
      </c>
      <c r="B16" s="65"/>
      <c r="C16" s="65"/>
      <c r="D16" s="65"/>
      <c r="E16" s="118"/>
      <c r="F16" s="118"/>
      <c r="G16" s="118"/>
      <c r="H16" s="118"/>
      <c r="I16" s="118"/>
      <c r="J16" s="118"/>
      <c r="K16" s="118"/>
      <c r="L16" s="118"/>
      <c r="M16" s="118"/>
      <c r="N16" s="118"/>
    </row>
    <row r="17" spans="1:12" x14ac:dyDescent="0.25">
      <c r="A17" s="236" t="s">
        <v>3168</v>
      </c>
      <c r="B17" s="236" t="s">
        <v>3109</v>
      </c>
      <c r="C17" s="192" t="s">
        <v>35</v>
      </c>
      <c r="D17" s="192"/>
      <c r="E17" s="192" t="s">
        <v>36</v>
      </c>
      <c r="F17" s="192"/>
      <c r="G17" s="192" t="s">
        <v>327</v>
      </c>
      <c r="H17" s="192"/>
      <c r="I17" s="192" t="s">
        <v>328</v>
      </c>
      <c r="J17" s="192"/>
      <c r="K17" s="192" t="s">
        <v>39</v>
      </c>
      <c r="L17" s="192"/>
    </row>
    <row r="18" spans="1:12" x14ac:dyDescent="0.25">
      <c r="A18" s="236"/>
      <c r="B18" s="236"/>
      <c r="C18" s="124" t="s">
        <v>330</v>
      </c>
      <c r="D18" s="124" t="s">
        <v>331</v>
      </c>
      <c r="E18" s="124" t="s">
        <v>330</v>
      </c>
      <c r="F18" s="124" t="s">
        <v>331</v>
      </c>
      <c r="G18" s="124" t="s">
        <v>330</v>
      </c>
      <c r="H18" s="124" t="s">
        <v>331</v>
      </c>
      <c r="I18" s="124" t="s">
        <v>330</v>
      </c>
      <c r="J18" s="124" t="s">
        <v>331</v>
      </c>
      <c r="K18" s="124" t="s">
        <v>330</v>
      </c>
      <c r="L18" s="124" t="s">
        <v>331</v>
      </c>
    </row>
    <row r="19" spans="1:12" x14ac:dyDescent="0.25">
      <c r="A19" s="33" t="s">
        <v>3123</v>
      </c>
      <c r="B19" s="177">
        <f>IF(AND(C4&gt;=30,C4&lt;80),(C4-55)/10, "out of range")</f>
        <v>-0.5</v>
      </c>
      <c r="C19" s="177">
        <f t="shared" ref="C19:L34" si="1">$B19*C49</f>
        <v>-0.39846245000000002</v>
      </c>
      <c r="D19" s="177">
        <f t="shared" si="1"/>
        <v>-0.38843274999999999</v>
      </c>
      <c r="E19" s="177">
        <f t="shared" si="1"/>
        <v>-0.36009995</v>
      </c>
      <c r="F19" s="177">
        <f t="shared" si="1"/>
        <v>-0.35708590000000001</v>
      </c>
      <c r="G19" s="177">
        <f t="shared" si="1"/>
        <v>-0.45729874999999998</v>
      </c>
      <c r="H19" s="177">
        <f t="shared" si="1"/>
        <v>-0.45558975000000002</v>
      </c>
      <c r="I19" s="177">
        <f t="shared" si="1"/>
        <v>-0.38074655000000002</v>
      </c>
      <c r="J19" s="177">
        <f t="shared" si="1"/>
        <v>-0.37514730000000002</v>
      </c>
      <c r="K19" s="177">
        <f t="shared" si="1"/>
        <v>-0.34654194999999999</v>
      </c>
      <c r="L19" s="177">
        <f t="shared" si="1"/>
        <v>-0.36590080000000003</v>
      </c>
    </row>
    <row r="20" spans="1:12" x14ac:dyDescent="0.25">
      <c r="A20" s="33" t="s">
        <v>3124</v>
      </c>
      <c r="B20" s="177">
        <f>IF(AND(C5&gt;=130,C5&lt;=320,C6&gt;=20,C6&lt;=100),(C5-C6)*0.02586-3.5,"out of range")</f>
        <v>0.5083000000000002</v>
      </c>
      <c r="C20" s="177">
        <f t="shared" si="1"/>
        <v>1.3044757050000005E-2</v>
      </c>
      <c r="D20" s="177">
        <f t="shared" si="1"/>
        <v>3.3545207670000007E-2</v>
      </c>
      <c r="E20" s="177">
        <f t="shared" si="1"/>
        <v>5.7731239930000025E-2</v>
      </c>
      <c r="F20" s="177">
        <f t="shared" si="1"/>
        <v>8.1439521020000044E-2</v>
      </c>
      <c r="G20" s="177">
        <f t="shared" si="1"/>
        <v>0</v>
      </c>
      <c r="H20" s="177">
        <f t="shared" si="1"/>
        <v>0</v>
      </c>
      <c r="I20" s="177">
        <f t="shared" si="1"/>
        <v>8.9753326650000034E-2</v>
      </c>
      <c r="J20" s="177">
        <f t="shared" si="1"/>
        <v>0.12755168374000003</v>
      </c>
      <c r="K20" s="177">
        <f t="shared" si="1"/>
        <v>2.530403811000001E-2</v>
      </c>
      <c r="L20" s="177">
        <f t="shared" si="1"/>
        <v>1.0858558750000004E-2</v>
      </c>
    </row>
    <row r="21" spans="1:12" x14ac:dyDescent="0.25">
      <c r="A21" s="33" t="s">
        <v>3125</v>
      </c>
      <c r="B21" s="177">
        <f>IF(AND(C6&gt;=20,C6&lt;=100),(C6*0.02586-1.3)/0.3,"out of range")</f>
        <v>-0.45433333333333364</v>
      </c>
      <c r="C21" s="177">
        <f t="shared" si="1"/>
        <v>7.2152994700000042E-2</v>
      </c>
      <c r="D21" s="177">
        <f t="shared" si="1"/>
        <v>4.3212143100000031E-2</v>
      </c>
      <c r="E21" s="177">
        <f t="shared" si="1"/>
        <v>6.7854955933333377E-2</v>
      </c>
      <c r="F21" s="177">
        <f t="shared" si="1"/>
        <v>5.1752473933333369E-2</v>
      </c>
      <c r="G21" s="177">
        <f t="shared" si="1"/>
        <v>0</v>
      </c>
      <c r="H21" s="177">
        <f t="shared" si="1"/>
        <v>0</v>
      </c>
      <c r="I21" s="177">
        <f t="shared" si="1"/>
        <v>9.0708240633333395E-2</v>
      </c>
      <c r="J21" s="177">
        <f t="shared" si="1"/>
        <v>8.2486988100000061E-2</v>
      </c>
      <c r="K21" s="177">
        <f t="shared" si="1"/>
        <v>4.7079746466666697E-2</v>
      </c>
      <c r="L21" s="177">
        <f t="shared" si="1"/>
        <v>1.1493270333333342E-2</v>
      </c>
    </row>
    <row r="22" spans="1:12" x14ac:dyDescent="0.25">
      <c r="A22" s="33" t="s">
        <v>3090</v>
      </c>
      <c r="B22" s="177">
        <f>IF(AND(C7&gt;=90,C7&lt;=200),(MIN(C7,110)-110)/20,"out of range")</f>
        <v>0</v>
      </c>
      <c r="C22" s="177">
        <f t="shared" si="1"/>
        <v>0</v>
      </c>
      <c r="D22" s="177">
        <f t="shared" si="1"/>
        <v>0</v>
      </c>
      <c r="E22" s="177">
        <f t="shared" si="1"/>
        <v>0</v>
      </c>
      <c r="F22" s="177">
        <f t="shared" si="1"/>
        <v>0</v>
      </c>
      <c r="G22" s="177">
        <f t="shared" si="1"/>
        <v>0</v>
      </c>
      <c r="H22" s="177">
        <f t="shared" si="1"/>
        <v>0</v>
      </c>
      <c r="I22" s="177">
        <f t="shared" si="1"/>
        <v>0</v>
      </c>
      <c r="J22" s="177">
        <f t="shared" si="1"/>
        <v>0</v>
      </c>
      <c r="K22" s="177">
        <f t="shared" si="1"/>
        <v>0</v>
      </c>
      <c r="L22" s="177">
        <f t="shared" si="1"/>
        <v>0</v>
      </c>
    </row>
    <row r="23" spans="1:12" x14ac:dyDescent="0.25">
      <c r="A23" s="33" t="s">
        <v>3091</v>
      </c>
      <c r="B23" s="177">
        <f>IF(AND(C7&gt;=90,C7&lt;=200),(MAX(C7,110)-130)/20,"out of range")</f>
        <v>1.5</v>
      </c>
      <c r="C23" s="177">
        <f t="shared" si="1"/>
        <v>0.50949734999999996</v>
      </c>
      <c r="D23" s="177">
        <f t="shared" si="1"/>
        <v>0.46802264999999998</v>
      </c>
      <c r="E23" s="177">
        <f t="shared" si="1"/>
        <v>0.51543885</v>
      </c>
      <c r="F23" s="177">
        <f t="shared" si="1"/>
        <v>0.45880784999999996</v>
      </c>
      <c r="G23" s="177">
        <f t="shared" si="1"/>
        <v>0.48904844999999997</v>
      </c>
      <c r="H23" s="177">
        <f t="shared" si="1"/>
        <v>0.49351229999999996</v>
      </c>
      <c r="I23" s="177">
        <f t="shared" si="1"/>
        <v>0.50614484999999998</v>
      </c>
      <c r="J23" s="177">
        <f t="shared" si="1"/>
        <v>0.44268615</v>
      </c>
      <c r="K23" s="177">
        <f t="shared" si="1"/>
        <v>0.52708155000000001</v>
      </c>
      <c r="L23" s="177">
        <f t="shared" si="1"/>
        <v>0.4926276</v>
      </c>
    </row>
    <row r="24" spans="1:12" x14ac:dyDescent="0.25">
      <c r="A24" s="33" t="s">
        <v>372</v>
      </c>
      <c r="B24" s="177">
        <f>IF(OR(C8=0,C8=1),C8,"out of range")</f>
        <v>1</v>
      </c>
      <c r="C24" s="177">
        <f t="shared" si="1"/>
        <v>0.80475149999999995</v>
      </c>
      <c r="D24" s="177">
        <f t="shared" si="1"/>
        <v>0.69852099999999995</v>
      </c>
      <c r="E24" s="177">
        <f t="shared" si="1"/>
        <v>0.77730940000000004</v>
      </c>
      <c r="F24" s="177">
        <f t="shared" si="1"/>
        <v>0.66006310000000001</v>
      </c>
      <c r="G24" s="177">
        <f t="shared" si="1"/>
        <v>0.96113649999999995</v>
      </c>
      <c r="H24" s="177">
        <f t="shared" si="1"/>
        <v>0.83776550000000005</v>
      </c>
      <c r="I24" s="177">
        <f t="shared" si="1"/>
        <v>0.85154430000000003</v>
      </c>
      <c r="J24" s="177">
        <f t="shared" si="1"/>
        <v>0.69404390000000005</v>
      </c>
      <c r="K24" s="177">
        <f t="shared" si="1"/>
        <v>0.73718969999999995</v>
      </c>
      <c r="L24" s="177">
        <f t="shared" si="1"/>
        <v>0.61663990000000002</v>
      </c>
    </row>
    <row r="25" spans="1:12" x14ac:dyDescent="0.25">
      <c r="A25" s="33" t="s">
        <v>3126</v>
      </c>
      <c r="B25" s="177">
        <f>IF(OR(C9=0,C9=1),C9,"out of range")</f>
        <v>0</v>
      </c>
      <c r="C25" s="177">
        <f t="shared" si="1"/>
        <v>0</v>
      </c>
      <c r="D25" s="177">
        <f t="shared" si="1"/>
        <v>0</v>
      </c>
      <c r="E25" s="177">
        <f t="shared" si="1"/>
        <v>0</v>
      </c>
      <c r="F25" s="177">
        <f t="shared" si="1"/>
        <v>0</v>
      </c>
      <c r="G25" s="177">
        <f t="shared" si="1"/>
        <v>0</v>
      </c>
      <c r="H25" s="177">
        <f t="shared" si="1"/>
        <v>0</v>
      </c>
      <c r="I25" s="177">
        <f t="shared" si="1"/>
        <v>0</v>
      </c>
      <c r="J25" s="177">
        <f t="shared" si="1"/>
        <v>0</v>
      </c>
      <c r="K25" s="177">
        <f t="shared" si="1"/>
        <v>0</v>
      </c>
      <c r="L25" s="177">
        <f t="shared" si="1"/>
        <v>0</v>
      </c>
    </row>
    <row r="26" spans="1:12" x14ac:dyDescent="0.25">
      <c r="A26" s="33" t="s">
        <v>3092</v>
      </c>
      <c r="B26" s="177">
        <f>IF(AND(C10&gt;=18.5,C10&lt;40),(MIN(C10,30)-25)/5,"out of range")</f>
        <v>1</v>
      </c>
      <c r="C26" s="177">
        <f t="shared" si="1"/>
        <v>0</v>
      </c>
      <c r="D26" s="177">
        <f t="shared" si="1"/>
        <v>0</v>
      </c>
      <c r="E26" s="177">
        <f t="shared" si="1"/>
        <v>0</v>
      </c>
      <c r="F26" s="177">
        <f t="shared" si="1"/>
        <v>0</v>
      </c>
      <c r="G26" s="177">
        <f t="shared" si="1"/>
        <v>8.8310000000000005E-4</v>
      </c>
      <c r="H26" s="177">
        <f t="shared" si="1"/>
        <v>-4.2749000000000002E-2</v>
      </c>
      <c r="I26" s="177">
        <f t="shared" si="1"/>
        <v>0</v>
      </c>
      <c r="J26" s="177">
        <f t="shared" si="1"/>
        <v>0</v>
      </c>
      <c r="K26" s="177">
        <f t="shared" si="1"/>
        <v>0</v>
      </c>
      <c r="L26" s="177">
        <f t="shared" si="1"/>
        <v>0</v>
      </c>
    </row>
    <row r="27" spans="1:12" x14ac:dyDescent="0.25">
      <c r="A27" s="33" t="s">
        <v>3093</v>
      </c>
      <c r="B27" s="177">
        <f>IF(AND(C10&gt;=18.5,C10&lt;40),(MAX(C10,30)-30)/5,"out of range")</f>
        <v>1</v>
      </c>
      <c r="C27" s="177">
        <f t="shared" si="1"/>
        <v>0</v>
      </c>
      <c r="D27" s="177">
        <f t="shared" si="1"/>
        <v>0</v>
      </c>
      <c r="E27" s="177">
        <f t="shared" si="1"/>
        <v>0</v>
      </c>
      <c r="F27" s="177">
        <f t="shared" si="1"/>
        <v>0</v>
      </c>
      <c r="G27" s="177">
        <f t="shared" si="1"/>
        <v>0.29889640000000001</v>
      </c>
      <c r="H27" s="177">
        <f t="shared" si="1"/>
        <v>0.36241649999999997</v>
      </c>
      <c r="I27" s="177">
        <f t="shared" si="1"/>
        <v>0</v>
      </c>
      <c r="J27" s="177">
        <f t="shared" si="1"/>
        <v>0</v>
      </c>
      <c r="K27" s="177">
        <f t="shared" si="1"/>
        <v>0</v>
      </c>
      <c r="L27" s="177">
        <f t="shared" si="1"/>
        <v>0</v>
      </c>
    </row>
    <row r="28" spans="1:12" x14ac:dyDescent="0.25">
      <c r="A28" s="33" t="s">
        <v>3094</v>
      </c>
      <c r="B28" s="177">
        <f>IF(AND(C11&gt;=15,C11&lt;=150),(MIN(C11,60)-60)/-15,"out of range")</f>
        <v>0</v>
      </c>
      <c r="C28" s="177">
        <f t="shared" si="1"/>
        <v>0</v>
      </c>
      <c r="D28" s="177">
        <f t="shared" si="1"/>
        <v>0</v>
      </c>
      <c r="E28" s="177">
        <f t="shared" si="1"/>
        <v>0</v>
      </c>
      <c r="F28" s="177">
        <f t="shared" si="1"/>
        <v>0</v>
      </c>
      <c r="G28" s="177">
        <f t="shared" si="1"/>
        <v>0</v>
      </c>
      <c r="H28" s="177">
        <f t="shared" si="1"/>
        <v>0</v>
      </c>
      <c r="I28" s="177">
        <f t="shared" si="1"/>
        <v>0</v>
      </c>
      <c r="J28" s="177">
        <f t="shared" si="1"/>
        <v>0</v>
      </c>
      <c r="K28" s="177">
        <f t="shared" si="1"/>
        <v>0</v>
      </c>
      <c r="L28" s="177">
        <f t="shared" si="1"/>
        <v>0</v>
      </c>
    </row>
    <row r="29" spans="1:12" x14ac:dyDescent="0.25">
      <c r="A29" s="33" t="s">
        <v>3095</v>
      </c>
      <c r="B29" s="177">
        <f>IF(AND(C11&gt;=15,C11&lt;=150),(MAX(C11,60)-90)/-15,"out of range")</f>
        <v>0</v>
      </c>
      <c r="C29" s="177">
        <f t="shared" si="1"/>
        <v>0</v>
      </c>
      <c r="D29" s="177">
        <f t="shared" si="1"/>
        <v>0</v>
      </c>
      <c r="E29" s="177">
        <f t="shared" si="1"/>
        <v>0</v>
      </c>
      <c r="F29" s="177">
        <f t="shared" si="1"/>
        <v>0</v>
      </c>
      <c r="G29" s="177">
        <f t="shared" si="1"/>
        <v>0</v>
      </c>
      <c r="H29" s="177">
        <f t="shared" si="1"/>
        <v>0</v>
      </c>
      <c r="I29" s="177">
        <f t="shared" si="1"/>
        <v>0</v>
      </c>
      <c r="J29" s="177">
        <f t="shared" si="1"/>
        <v>0</v>
      </c>
      <c r="K29" s="177">
        <f t="shared" si="1"/>
        <v>0</v>
      </c>
      <c r="L29" s="177">
        <f t="shared" si="1"/>
        <v>0</v>
      </c>
    </row>
    <row r="30" spans="1:12" x14ac:dyDescent="0.25">
      <c r="A30" s="33" t="s">
        <v>3127</v>
      </c>
      <c r="B30" s="177">
        <f>IF(OR(C12=0,C12=1),C12,"out of range")</f>
        <v>1</v>
      </c>
      <c r="C30" s="177">
        <f t="shared" si="1"/>
        <v>0.29852070000000003</v>
      </c>
      <c r="D30" s="177">
        <f t="shared" si="1"/>
        <v>0.26764939999999998</v>
      </c>
      <c r="E30" s="177">
        <f t="shared" si="1"/>
        <v>0.21251819999999999</v>
      </c>
      <c r="F30" s="177">
        <f t="shared" si="1"/>
        <v>0.186167</v>
      </c>
      <c r="G30" s="177">
        <f t="shared" si="1"/>
        <v>0.33140969999999997</v>
      </c>
      <c r="H30" s="177">
        <f t="shared" si="1"/>
        <v>0.27399630000000003</v>
      </c>
      <c r="I30" s="177">
        <f t="shared" si="1"/>
        <v>0.1879265</v>
      </c>
      <c r="J30" s="177">
        <f t="shared" si="1"/>
        <v>0.1436559</v>
      </c>
      <c r="K30" s="177">
        <f t="shared" si="1"/>
        <v>0.23395840000000001</v>
      </c>
      <c r="L30" s="177">
        <f t="shared" si="1"/>
        <v>0.21357100000000001</v>
      </c>
    </row>
    <row r="31" spans="1:12" x14ac:dyDescent="0.25">
      <c r="A31" s="33" t="s">
        <v>3128</v>
      </c>
      <c r="B31" s="177">
        <f>IF(OR(C13=0,C13=1),C13,"out of range")</f>
        <v>0</v>
      </c>
      <c r="C31" s="177">
        <f t="shared" si="1"/>
        <v>0</v>
      </c>
      <c r="D31" s="177">
        <f t="shared" si="1"/>
        <v>0</v>
      </c>
      <c r="E31" s="177">
        <f t="shared" si="1"/>
        <v>0</v>
      </c>
      <c r="F31" s="177">
        <f t="shared" si="1"/>
        <v>0</v>
      </c>
      <c r="G31" s="177">
        <f t="shared" si="1"/>
        <v>0</v>
      </c>
      <c r="H31" s="177">
        <f t="shared" si="1"/>
        <v>0</v>
      </c>
      <c r="I31" s="177">
        <f t="shared" si="1"/>
        <v>0</v>
      </c>
      <c r="J31" s="177">
        <f t="shared" si="1"/>
        <v>0</v>
      </c>
      <c r="K31" s="177">
        <f t="shared" si="1"/>
        <v>0</v>
      </c>
      <c r="L31" s="177">
        <f t="shared" si="1"/>
        <v>0</v>
      </c>
    </row>
    <row r="32" spans="1:12" x14ac:dyDescent="0.25">
      <c r="A32" s="33" t="s">
        <v>3129</v>
      </c>
      <c r="B32" s="177">
        <f>B23*B30</f>
        <v>1.5</v>
      </c>
      <c r="C32" s="177">
        <f t="shared" si="1"/>
        <v>-0.11143335000000001</v>
      </c>
      <c r="D32" s="177">
        <f t="shared" si="1"/>
        <v>-8.6897249999999995E-2</v>
      </c>
      <c r="E32" s="177">
        <f t="shared" si="1"/>
        <v>-6.9907949999999996E-2</v>
      </c>
      <c r="F32" s="177">
        <f t="shared" si="1"/>
        <v>-6.17826E-2</v>
      </c>
      <c r="G32" s="177">
        <f t="shared" si="1"/>
        <v>-0.1617894</v>
      </c>
      <c r="H32" s="177">
        <f t="shared" si="1"/>
        <v>-9.6856799999999993E-2</v>
      </c>
      <c r="I32" s="177">
        <f t="shared" si="1"/>
        <v>-0.14652960000000001</v>
      </c>
      <c r="J32" s="177">
        <f t="shared" si="1"/>
        <v>-0.10033605</v>
      </c>
      <c r="K32" s="177">
        <f t="shared" si="1"/>
        <v>-2.0155800000000001E-2</v>
      </c>
      <c r="L32" s="177">
        <f t="shared" si="1"/>
        <v>5.7205500000000005E-3</v>
      </c>
    </row>
    <row r="33" spans="1:12" x14ac:dyDescent="0.25">
      <c r="A33" s="33" t="s">
        <v>3130</v>
      </c>
      <c r="B33" s="177">
        <f>B20*B31</f>
        <v>0</v>
      </c>
      <c r="C33" s="177">
        <f t="shared" si="1"/>
        <v>0</v>
      </c>
      <c r="D33" s="177">
        <f t="shared" si="1"/>
        <v>0</v>
      </c>
      <c r="E33" s="177">
        <f t="shared" si="1"/>
        <v>0</v>
      </c>
      <c r="F33" s="177">
        <f t="shared" si="1"/>
        <v>0</v>
      </c>
      <c r="G33" s="177">
        <f t="shared" si="1"/>
        <v>0</v>
      </c>
      <c r="H33" s="177">
        <f t="shared" si="1"/>
        <v>0</v>
      </c>
      <c r="I33" s="177">
        <f t="shared" si="1"/>
        <v>0</v>
      </c>
      <c r="J33" s="177">
        <f t="shared" si="1"/>
        <v>0</v>
      </c>
      <c r="K33" s="177">
        <f t="shared" si="1"/>
        <v>0</v>
      </c>
      <c r="L33" s="177">
        <f t="shared" si="1"/>
        <v>0</v>
      </c>
    </row>
    <row r="34" spans="1:12" x14ac:dyDescent="0.25">
      <c r="A34" s="33" t="s">
        <v>3131</v>
      </c>
      <c r="B34" s="177">
        <f>B19*B20</f>
        <v>-0.2541500000000001</v>
      </c>
      <c r="C34" s="177">
        <f t="shared" si="1"/>
        <v>1.9776072290000005E-2</v>
      </c>
      <c r="D34" s="177">
        <f t="shared" si="1"/>
        <v>1.2410957780000004E-2</v>
      </c>
      <c r="E34" s="177">
        <f t="shared" si="1"/>
        <v>1.3578268730000006E-2</v>
      </c>
      <c r="F34" s="177">
        <f t="shared" si="1"/>
        <v>7.1388193500000023E-3</v>
      </c>
      <c r="G34" s="177">
        <f t="shared" si="1"/>
        <v>0</v>
      </c>
      <c r="H34" s="177">
        <f t="shared" si="1"/>
        <v>0</v>
      </c>
      <c r="I34" s="177">
        <f t="shared" si="1"/>
        <v>1.6381212835000006E-2</v>
      </c>
      <c r="J34" s="177">
        <f t="shared" si="1"/>
        <v>1.2737845510000005E-2</v>
      </c>
      <c r="K34" s="177">
        <f t="shared" si="1"/>
        <v>9.6220681700000029E-3</v>
      </c>
      <c r="L34" s="177">
        <f t="shared" si="1"/>
        <v>-4.1984817550000013E-3</v>
      </c>
    </row>
    <row r="35" spans="1:12" x14ac:dyDescent="0.25">
      <c r="A35" s="33" t="s">
        <v>3132</v>
      </c>
      <c r="B35" s="177">
        <f>B19*B21</f>
        <v>0.22716666666666682</v>
      </c>
      <c r="C35" s="177">
        <f t="shared" ref="C35:L41" si="2">$B35*C65</f>
        <v>6.968746400000005E-3</v>
      </c>
      <c r="D35" s="177">
        <f t="shared" si="2"/>
        <v>4.5525563000000024E-3</v>
      </c>
      <c r="E35" s="177">
        <f t="shared" si="2"/>
        <v>7.3985684500000046E-3</v>
      </c>
      <c r="F35" s="177">
        <f t="shared" si="2"/>
        <v>5.4617000166666705E-3</v>
      </c>
      <c r="G35" s="177">
        <f t="shared" si="2"/>
        <v>0</v>
      </c>
      <c r="H35" s="177">
        <f t="shared" si="2"/>
        <v>0</v>
      </c>
      <c r="I35" s="177">
        <f t="shared" si="2"/>
        <v>1.1087982283333341E-2</v>
      </c>
      <c r="J35" s="177">
        <f t="shared" si="2"/>
        <v>1.1276394316666674E-2</v>
      </c>
      <c r="K35" s="177">
        <f t="shared" si="2"/>
        <v>3.8589256000000028E-3</v>
      </c>
      <c r="L35" s="177">
        <f t="shared" si="2"/>
        <v>-2.3134653333333351E-3</v>
      </c>
    </row>
    <row r="36" spans="1:12" x14ac:dyDescent="0.25">
      <c r="A36" s="33" t="s">
        <v>3096</v>
      </c>
      <c r="B36" s="177">
        <f>B19*B23</f>
        <v>-0.75</v>
      </c>
      <c r="C36" s="177">
        <f t="shared" si="2"/>
        <v>6.8037600000000004E-2</v>
      </c>
      <c r="D36" s="177">
        <f t="shared" si="2"/>
        <v>7.6840500000000006E-2</v>
      </c>
      <c r="E36" s="177">
        <f t="shared" si="2"/>
        <v>7.4991525000000003E-2</v>
      </c>
      <c r="F36" s="177">
        <f t="shared" si="2"/>
        <v>6.8424374999999996E-2</v>
      </c>
      <c r="G36" s="177">
        <f t="shared" si="2"/>
        <v>6.5642325000000001E-2</v>
      </c>
      <c r="H36" s="177">
        <f t="shared" si="2"/>
        <v>9.2252925E-2</v>
      </c>
      <c r="I36" s="177">
        <f t="shared" si="2"/>
        <v>6.4261425000000011E-2</v>
      </c>
      <c r="J36" s="177">
        <f t="shared" si="2"/>
        <v>6.2610675000000005E-2</v>
      </c>
      <c r="K36" s="177">
        <f t="shared" si="2"/>
        <v>8.6789325E-2</v>
      </c>
      <c r="L36" s="177">
        <f t="shared" si="2"/>
        <v>8.4865875000000007E-2</v>
      </c>
    </row>
    <row r="37" spans="1:12" x14ac:dyDescent="0.25">
      <c r="A37" s="33" t="s">
        <v>3133</v>
      </c>
      <c r="B37" s="177">
        <f>B19*B24</f>
        <v>-0.5</v>
      </c>
      <c r="C37" s="177">
        <f t="shared" si="2"/>
        <v>0.13525609999999999</v>
      </c>
      <c r="D37" s="177">
        <f t="shared" si="2"/>
        <v>0.11181774999999999</v>
      </c>
      <c r="E37" s="177">
        <f t="shared" si="2"/>
        <v>0.1205881</v>
      </c>
      <c r="F37" s="177">
        <f t="shared" si="2"/>
        <v>0.10024470000000001</v>
      </c>
      <c r="G37" s="177">
        <f t="shared" si="2"/>
        <v>0.17842949999999999</v>
      </c>
      <c r="H37" s="177">
        <f t="shared" si="2"/>
        <v>0.15066484999999999</v>
      </c>
      <c r="I37" s="177">
        <f t="shared" si="2"/>
        <v>0.12799415</v>
      </c>
      <c r="J37" s="177">
        <f t="shared" si="2"/>
        <v>0.10468065</v>
      </c>
      <c r="K37" s="177">
        <f t="shared" si="2"/>
        <v>0.12347805000000001</v>
      </c>
      <c r="L37" s="177">
        <f t="shared" si="2"/>
        <v>0.10405375</v>
      </c>
    </row>
    <row r="38" spans="1:12" x14ac:dyDescent="0.25">
      <c r="A38" s="33" t="s">
        <v>3134</v>
      </c>
      <c r="B38" s="177">
        <f>B19*B25</f>
        <v>0</v>
      </c>
      <c r="C38" s="177">
        <f t="shared" si="2"/>
        <v>0</v>
      </c>
      <c r="D38" s="177">
        <f t="shared" si="2"/>
        <v>0</v>
      </c>
      <c r="E38" s="177">
        <f t="shared" si="2"/>
        <v>0</v>
      </c>
      <c r="F38" s="177">
        <f t="shared" si="2"/>
        <v>0</v>
      </c>
      <c r="G38" s="177">
        <f t="shared" si="2"/>
        <v>0</v>
      </c>
      <c r="H38" s="177">
        <f t="shared" si="2"/>
        <v>0</v>
      </c>
      <c r="I38" s="177">
        <f t="shared" si="2"/>
        <v>0</v>
      </c>
      <c r="J38" s="177">
        <f t="shared" si="2"/>
        <v>0</v>
      </c>
      <c r="K38" s="177">
        <f t="shared" si="2"/>
        <v>0</v>
      </c>
      <c r="L38" s="177">
        <f t="shared" si="2"/>
        <v>0</v>
      </c>
    </row>
    <row r="39" spans="1:12" x14ac:dyDescent="0.25">
      <c r="A39" s="33" t="s">
        <v>3135</v>
      </c>
      <c r="B39" s="177">
        <f>B19*B27</f>
        <v>-0.5</v>
      </c>
      <c r="C39" s="177">
        <f t="shared" si="2"/>
        <v>0</v>
      </c>
      <c r="D39" s="177">
        <f t="shared" si="2"/>
        <v>0</v>
      </c>
      <c r="E39" s="177">
        <f t="shared" si="2"/>
        <v>0</v>
      </c>
      <c r="F39" s="177">
        <f t="shared" si="2"/>
        <v>0</v>
      </c>
      <c r="G39" s="177">
        <f t="shared" si="2"/>
        <v>2.6818499999999999E-3</v>
      </c>
      <c r="H39" s="177">
        <f t="shared" si="2"/>
        <v>-1.0765499999999999E-3</v>
      </c>
      <c r="I39" s="177">
        <f t="shared" si="2"/>
        <v>0</v>
      </c>
      <c r="J39" s="177">
        <f t="shared" si="2"/>
        <v>0</v>
      </c>
      <c r="K39" s="177">
        <f t="shared" si="2"/>
        <v>0</v>
      </c>
      <c r="L39" s="177">
        <f t="shared" si="2"/>
        <v>0</v>
      </c>
    </row>
    <row r="40" spans="1:12" x14ac:dyDescent="0.25">
      <c r="A40" s="33" t="s">
        <v>3136</v>
      </c>
      <c r="B40" s="177">
        <f>B19*B28</f>
        <v>0</v>
      </c>
      <c r="C40" s="177">
        <f t="shared" si="2"/>
        <v>0</v>
      </c>
      <c r="D40" s="177">
        <f t="shared" si="2"/>
        <v>0</v>
      </c>
      <c r="E40" s="177">
        <f t="shared" si="2"/>
        <v>0</v>
      </c>
      <c r="F40" s="177">
        <f t="shared" si="2"/>
        <v>0</v>
      </c>
      <c r="G40" s="177">
        <f t="shared" si="2"/>
        <v>0</v>
      </c>
      <c r="H40" s="177">
        <f t="shared" si="2"/>
        <v>0</v>
      </c>
      <c r="I40" s="177">
        <f t="shared" si="2"/>
        <v>0</v>
      </c>
      <c r="J40" s="177">
        <f t="shared" si="2"/>
        <v>0</v>
      </c>
      <c r="K40" s="177">
        <f t="shared" si="2"/>
        <v>0</v>
      </c>
      <c r="L40" s="177">
        <f t="shared" si="2"/>
        <v>0</v>
      </c>
    </row>
    <row r="41" spans="1:12" x14ac:dyDescent="0.25">
      <c r="A41" s="33" t="s">
        <v>3143</v>
      </c>
      <c r="B41" s="177">
        <f>IF(AND(C14&gt;=0.1,C14&lt;=25000),LN(C14),"out of range")</f>
        <v>3.6888794541139363</v>
      </c>
      <c r="C41" s="177">
        <f t="shared" si="2"/>
        <v>0.66142973497660906</v>
      </c>
      <c r="D41" s="177">
        <f t="shared" si="2"/>
        <v>0.6964508498501305</v>
      </c>
      <c r="E41" s="177">
        <f t="shared" si="2"/>
        <v>0.55378085474665606</v>
      </c>
      <c r="F41" s="177">
        <f t="shared" si="2"/>
        <v>0.55704772639121947</v>
      </c>
      <c r="G41" s="177">
        <f t="shared" si="2"/>
        <v>0.81055047358149246</v>
      </c>
      <c r="H41" s="177">
        <f t="shared" si="2"/>
        <v>0.85076589961435167</v>
      </c>
      <c r="I41" s="177">
        <f t="shared" si="2"/>
        <v>0.58591689699911509</v>
      </c>
      <c r="J41" s="177">
        <f t="shared" si="2"/>
        <v>0.53122704576420343</v>
      </c>
      <c r="K41" s="177">
        <f t="shared" si="2"/>
        <v>0.51742805439019945</v>
      </c>
      <c r="L41" s="177">
        <f t="shared" si="2"/>
        <v>0.59916218756705664</v>
      </c>
    </row>
    <row r="42" spans="1:12" x14ac:dyDescent="0.25">
      <c r="A42" s="33" t="s">
        <v>2395</v>
      </c>
      <c r="B42" s="177">
        <v>1</v>
      </c>
      <c r="C42" s="177">
        <f t="shared" ref="C42:L42" si="3">$B42*C73</f>
        <v>-3.7383410000000001</v>
      </c>
      <c r="D42" s="177">
        <f t="shared" si="3"/>
        <v>-3.5107050000000002</v>
      </c>
      <c r="E42" s="177">
        <f t="shared" si="3"/>
        <v>-4.174614</v>
      </c>
      <c r="F42" s="177">
        <f t="shared" si="3"/>
        <v>-3.8514599999999999</v>
      </c>
      <c r="G42" s="177">
        <f t="shared" si="3"/>
        <v>-4.8415059999999999</v>
      </c>
      <c r="H42" s="177">
        <f t="shared" si="3"/>
        <v>-4.5569069999999998</v>
      </c>
      <c r="I42" s="177">
        <f t="shared" si="3"/>
        <v>-4.9899319999999996</v>
      </c>
      <c r="J42" s="177">
        <f t="shared" si="3"/>
        <v>-4.5056399999999996</v>
      </c>
      <c r="K42" s="177">
        <f t="shared" si="3"/>
        <v>-4.7222179999999998</v>
      </c>
      <c r="L42" s="177">
        <f t="shared" si="3"/>
        <v>-4.594023</v>
      </c>
    </row>
    <row r="43" spans="1:12" ht="14.45" customHeight="1" x14ac:dyDescent="0.25">
      <c r="A43" s="65" t="s">
        <v>3098</v>
      </c>
      <c r="B43" s="240" t="s">
        <v>3097</v>
      </c>
      <c r="C43" s="177">
        <f>SUM(C19:C42)</f>
        <v>-1.6588012445833908</v>
      </c>
      <c r="D43" s="177">
        <f t="shared" ref="D43:L43" si="4">SUM(D19:D42)</f>
        <v>-1.5730119852998696</v>
      </c>
      <c r="E43" s="177">
        <f t="shared" si="4"/>
        <v>-2.2034319372100106</v>
      </c>
      <c r="F43" s="177">
        <f t="shared" si="4"/>
        <v>-2.0937812342887803</v>
      </c>
      <c r="G43" s="177">
        <f t="shared" si="4"/>
        <v>-2.3219158514185074</v>
      </c>
      <c r="H43" s="177">
        <f t="shared" si="4"/>
        <v>-2.0918048253856485</v>
      </c>
      <c r="I43" s="177">
        <f t="shared" si="4"/>
        <v>-2.9854892655992176</v>
      </c>
      <c r="J43" s="177">
        <f t="shared" si="4"/>
        <v>-2.7681661175691294</v>
      </c>
      <c r="K43" s="177">
        <f t="shared" si="4"/>
        <v>-2.7771258922631334</v>
      </c>
      <c r="L43" s="177">
        <f t="shared" si="4"/>
        <v>-2.8274430554379433</v>
      </c>
    </row>
    <row r="44" spans="1:12" x14ac:dyDescent="0.25">
      <c r="A44" s="183" t="s">
        <v>3099</v>
      </c>
      <c r="B44" s="240"/>
      <c r="C44" s="184">
        <f>EXP(C43)/(1+EXP(C43))</f>
        <v>0.15992298123481016</v>
      </c>
      <c r="D44" s="184">
        <f t="shared" ref="D44:L44" si="5">EXP(D43)/(1+EXP(D43))</f>
        <v>0.17178743324234846</v>
      </c>
      <c r="E44" s="184">
        <f t="shared" si="5"/>
        <v>9.9442723088078722E-2</v>
      </c>
      <c r="F44" s="184">
        <f t="shared" si="5"/>
        <v>0.10970272324914827</v>
      </c>
      <c r="G44" s="184">
        <f t="shared" si="5"/>
        <v>8.93240911620721E-2</v>
      </c>
      <c r="H44" s="184">
        <f t="shared" si="5"/>
        <v>0.10989590417895433</v>
      </c>
      <c r="I44" s="184">
        <f t="shared" si="5"/>
        <v>4.8085741586070721E-2</v>
      </c>
      <c r="J44" s="184">
        <f t="shared" si="5"/>
        <v>5.9068857769673133E-2</v>
      </c>
      <c r="K44" s="184">
        <f t="shared" si="5"/>
        <v>5.8572838843231667E-2</v>
      </c>
      <c r="L44" s="184">
        <f t="shared" si="5"/>
        <v>5.5859095220003041E-2</v>
      </c>
    </row>
    <row r="45" spans="1:12" x14ac:dyDescent="0.25">
      <c r="A45" s="183"/>
      <c r="B45" s="182"/>
      <c r="C45" s="184"/>
      <c r="D45" s="184"/>
      <c r="E45" s="184"/>
      <c r="F45" s="184"/>
      <c r="G45" s="184"/>
      <c r="H45" s="184"/>
      <c r="I45" s="184"/>
      <c r="J45" s="184"/>
      <c r="K45" s="184"/>
      <c r="L45" s="184"/>
    </row>
    <row r="46" spans="1:12" x14ac:dyDescent="0.25">
      <c r="A46" s="185" t="s">
        <v>3137</v>
      </c>
      <c r="B46" s="182"/>
      <c r="C46" s="184"/>
      <c r="D46" s="184"/>
      <c r="E46" s="184"/>
      <c r="F46" s="184"/>
      <c r="G46" s="184"/>
      <c r="H46" s="184"/>
      <c r="I46" s="184"/>
      <c r="J46" s="184"/>
      <c r="K46" s="184"/>
      <c r="L46" s="184"/>
    </row>
    <row r="47" spans="1:12" x14ac:dyDescent="0.25">
      <c r="A47" s="236" t="s">
        <v>3138</v>
      </c>
      <c r="C47" s="192" t="s">
        <v>35</v>
      </c>
      <c r="D47" s="192"/>
      <c r="E47" s="192" t="s">
        <v>36</v>
      </c>
      <c r="F47" s="192"/>
      <c r="G47" s="192" t="s">
        <v>327</v>
      </c>
      <c r="H47" s="192"/>
      <c r="I47" s="192" t="s">
        <v>328</v>
      </c>
      <c r="J47" s="192"/>
      <c r="K47" s="192" t="s">
        <v>39</v>
      </c>
      <c r="L47" s="192"/>
    </row>
    <row r="48" spans="1:12" x14ac:dyDescent="0.25">
      <c r="A48" s="236"/>
      <c r="B48" s="65"/>
      <c r="C48" s="124" t="s">
        <v>330</v>
      </c>
      <c r="D48" s="124" t="s">
        <v>331</v>
      </c>
      <c r="E48" s="124" t="s">
        <v>330</v>
      </c>
      <c r="F48" s="124" t="s">
        <v>331</v>
      </c>
      <c r="G48" s="124" t="s">
        <v>330</v>
      </c>
      <c r="H48" s="124" t="s">
        <v>331</v>
      </c>
      <c r="I48" s="124" t="s">
        <v>330</v>
      </c>
      <c r="J48" s="124" t="s">
        <v>331</v>
      </c>
      <c r="K48" s="124" t="s">
        <v>330</v>
      </c>
      <c r="L48" s="124" t="s">
        <v>331</v>
      </c>
    </row>
    <row r="49" spans="1:12" x14ac:dyDescent="0.25">
      <c r="A49" s="65" t="s">
        <v>3081</v>
      </c>
      <c r="C49" s="44">
        <v>0.79692490000000005</v>
      </c>
      <c r="D49" s="44">
        <v>0.77686549999999999</v>
      </c>
      <c r="E49" s="44">
        <v>0.7201999</v>
      </c>
      <c r="F49" s="44">
        <v>0.71417180000000002</v>
      </c>
      <c r="G49" s="44">
        <v>0.91459749999999995</v>
      </c>
      <c r="H49" s="44">
        <v>0.91117950000000003</v>
      </c>
      <c r="I49" s="44">
        <v>0.76149310000000003</v>
      </c>
      <c r="J49" s="44">
        <v>0.75029460000000003</v>
      </c>
      <c r="K49" s="44">
        <v>0.69308389999999997</v>
      </c>
      <c r="L49" s="44">
        <v>0.73180160000000005</v>
      </c>
    </row>
    <row r="50" spans="1:12" x14ac:dyDescent="0.25">
      <c r="A50" s="65" t="s">
        <v>332</v>
      </c>
      <c r="C50" s="44">
        <v>2.5663499999999999E-2</v>
      </c>
      <c r="D50" s="44">
        <v>6.5994899999999995E-2</v>
      </c>
      <c r="E50" s="44">
        <v>0.1135771</v>
      </c>
      <c r="F50" s="44">
        <v>0.16021940000000001</v>
      </c>
      <c r="G50" s="44"/>
      <c r="H50" s="44"/>
      <c r="I50" s="44">
        <v>0.1765755</v>
      </c>
      <c r="J50" s="44">
        <v>0.25093779999999999</v>
      </c>
      <c r="K50" s="44">
        <v>4.9781699999999998E-2</v>
      </c>
      <c r="L50" s="44">
        <v>2.13625E-2</v>
      </c>
    </row>
    <row r="51" spans="1:12" x14ac:dyDescent="0.25">
      <c r="A51" s="65" t="s">
        <v>341</v>
      </c>
      <c r="C51" s="44">
        <v>-0.1588107</v>
      </c>
      <c r="D51" s="44">
        <v>-9.5111100000000004E-2</v>
      </c>
      <c r="E51" s="44">
        <v>-0.1493506</v>
      </c>
      <c r="F51" s="44">
        <v>-0.1139086</v>
      </c>
      <c r="G51" s="44"/>
      <c r="H51" s="44"/>
      <c r="I51" s="44">
        <v>-0.1996513</v>
      </c>
      <c r="J51" s="44">
        <v>-0.1815561</v>
      </c>
      <c r="K51" s="44">
        <v>-0.1036238</v>
      </c>
      <c r="L51" s="44">
        <v>-2.5297E-2</v>
      </c>
    </row>
    <row r="52" spans="1:12" x14ac:dyDescent="0.25">
      <c r="A52" s="65" t="s">
        <v>350</v>
      </c>
      <c r="C52" s="44">
        <v>-0.2255701</v>
      </c>
      <c r="D52" s="44">
        <v>-0.42066700000000001</v>
      </c>
      <c r="E52" s="44">
        <v>-7.2667700000000002E-2</v>
      </c>
      <c r="F52" s="44">
        <v>-0.27194560000000001</v>
      </c>
      <c r="G52" s="44">
        <v>-0.44413459999999999</v>
      </c>
      <c r="H52" s="44">
        <v>-0.66936490000000004</v>
      </c>
      <c r="I52" s="44">
        <v>-7.6076699999999997E-2</v>
      </c>
      <c r="J52" s="44">
        <v>-0.30627189999999999</v>
      </c>
      <c r="K52" s="44">
        <v>-0.10189810000000001</v>
      </c>
      <c r="L52" s="44">
        <v>-0.25746019999999997</v>
      </c>
    </row>
    <row r="53" spans="1:12" x14ac:dyDescent="0.25">
      <c r="A53" s="65" t="s">
        <v>361</v>
      </c>
      <c r="C53" s="44">
        <v>0.33966489999999999</v>
      </c>
      <c r="D53" s="44">
        <v>0.31201509999999999</v>
      </c>
      <c r="E53" s="44">
        <v>0.34362589999999998</v>
      </c>
      <c r="F53" s="44">
        <v>0.30587189999999997</v>
      </c>
      <c r="G53" s="44">
        <v>0.3260323</v>
      </c>
      <c r="H53" s="44">
        <v>0.32900819999999997</v>
      </c>
      <c r="I53" s="44">
        <v>0.3374299</v>
      </c>
      <c r="J53" s="44">
        <v>0.2951241</v>
      </c>
      <c r="K53" s="44">
        <v>0.35138770000000003</v>
      </c>
      <c r="L53" s="44">
        <v>0.3284184</v>
      </c>
    </row>
    <row r="54" spans="1:12" x14ac:dyDescent="0.25">
      <c r="A54" s="65" t="s">
        <v>372</v>
      </c>
      <c r="C54" s="44">
        <v>0.80475149999999995</v>
      </c>
      <c r="D54" s="44">
        <v>0.69852099999999995</v>
      </c>
      <c r="E54" s="44">
        <v>0.77730940000000004</v>
      </c>
      <c r="F54" s="44">
        <v>0.66006310000000001</v>
      </c>
      <c r="G54" s="44">
        <v>0.96113649999999995</v>
      </c>
      <c r="H54" s="44">
        <v>0.83776550000000005</v>
      </c>
      <c r="I54" s="44">
        <v>0.85154430000000003</v>
      </c>
      <c r="J54" s="44">
        <v>0.69404390000000005</v>
      </c>
      <c r="K54" s="44">
        <v>0.73718969999999995</v>
      </c>
      <c r="L54" s="44">
        <v>0.61663990000000002</v>
      </c>
    </row>
    <row r="55" spans="1:12" ht="14.45" customHeight="1" x14ac:dyDescent="0.25">
      <c r="A55" s="65" t="s">
        <v>383</v>
      </c>
      <c r="C55" s="44">
        <v>0.52853380000000005</v>
      </c>
      <c r="D55" s="44">
        <v>0.43146689999999999</v>
      </c>
      <c r="E55" s="44">
        <v>0.47466619999999998</v>
      </c>
      <c r="F55" s="44">
        <v>0.38840219999999998</v>
      </c>
      <c r="G55" s="44">
        <v>0.5755787</v>
      </c>
      <c r="H55" s="44">
        <v>0.49789169999999999</v>
      </c>
      <c r="I55" s="44">
        <v>0.5327847</v>
      </c>
      <c r="J55" s="44">
        <v>0.38537680000000002</v>
      </c>
      <c r="K55" s="44">
        <v>0.41246969999999999</v>
      </c>
      <c r="L55" s="44">
        <v>0.38355119999999998</v>
      </c>
    </row>
    <row r="56" spans="1:12" ht="14.45" customHeight="1" x14ac:dyDescent="0.25">
      <c r="A56" s="65" t="s">
        <v>393</v>
      </c>
      <c r="C56" s="44"/>
      <c r="D56" s="44"/>
      <c r="E56" s="44"/>
      <c r="F56" s="44"/>
      <c r="G56" s="44">
        <v>8.8310000000000005E-4</v>
      </c>
      <c r="H56" s="44">
        <v>-4.2749000000000002E-2</v>
      </c>
      <c r="I56" s="44"/>
      <c r="J56" s="44"/>
      <c r="K56" s="44"/>
      <c r="L56" s="44"/>
    </row>
    <row r="57" spans="1:12" ht="14.45" customHeight="1" x14ac:dyDescent="0.25">
      <c r="A57" s="65" t="s">
        <v>396</v>
      </c>
      <c r="C57" s="44"/>
      <c r="D57" s="44"/>
      <c r="E57" s="44"/>
      <c r="F57" s="44"/>
      <c r="G57" s="44">
        <v>0.29889640000000001</v>
      </c>
      <c r="H57" s="44">
        <v>0.36241649999999997</v>
      </c>
      <c r="I57" s="44"/>
      <c r="J57" s="44"/>
      <c r="K57" s="44"/>
      <c r="L57" s="44"/>
    </row>
    <row r="58" spans="1:12" ht="14.45" customHeight="1" x14ac:dyDescent="0.25">
      <c r="A58" s="65" t="s">
        <v>399</v>
      </c>
      <c r="C58" s="44">
        <v>0.48035109999999998</v>
      </c>
      <c r="D58" s="44">
        <v>0.38413639999999999</v>
      </c>
      <c r="E58" s="44">
        <v>0.38246459999999999</v>
      </c>
      <c r="F58" s="44">
        <v>0.24663160000000001</v>
      </c>
      <c r="G58" s="44">
        <v>0.59152910000000003</v>
      </c>
      <c r="H58" s="44">
        <v>0.50757960000000002</v>
      </c>
      <c r="I58" s="44">
        <v>0.40675869999999997</v>
      </c>
      <c r="J58" s="44">
        <v>0.25419890000000001</v>
      </c>
      <c r="K58" s="44">
        <v>0.35744189999999998</v>
      </c>
      <c r="L58" s="44">
        <v>0.26770329999999998</v>
      </c>
    </row>
    <row r="59" spans="1:12" x14ac:dyDescent="0.25">
      <c r="A59" s="65" t="s">
        <v>410</v>
      </c>
      <c r="C59" s="44">
        <v>4.3447199999999998E-2</v>
      </c>
      <c r="D59" s="44">
        <v>9.384E-3</v>
      </c>
      <c r="E59" s="44">
        <v>3.9417800000000003E-2</v>
      </c>
      <c r="F59" s="44">
        <v>1.5185199999999999E-2</v>
      </c>
      <c r="G59" s="44">
        <v>5.5682299999999997E-2</v>
      </c>
      <c r="H59" s="44">
        <v>1.37716E-2</v>
      </c>
      <c r="I59" s="44">
        <v>3.2596699999999999E-2</v>
      </c>
      <c r="J59" s="44">
        <v>1.4138299999999999E-2</v>
      </c>
      <c r="K59" s="44">
        <v>5.0545300000000001E-2</v>
      </c>
      <c r="L59" s="44">
        <v>1.3969799999999999E-2</v>
      </c>
    </row>
    <row r="60" spans="1:12" x14ac:dyDescent="0.25">
      <c r="A60" s="65" t="s">
        <v>420</v>
      </c>
      <c r="C60" s="44">
        <v>0.29852070000000003</v>
      </c>
      <c r="D60" s="44">
        <v>0.26764939999999998</v>
      </c>
      <c r="E60" s="44">
        <v>0.21251819999999999</v>
      </c>
      <c r="F60" s="44">
        <v>0.186167</v>
      </c>
      <c r="G60" s="44">
        <v>0.33140969999999997</v>
      </c>
      <c r="H60" s="44">
        <v>0.27399630000000003</v>
      </c>
      <c r="I60" s="44">
        <v>0.1879265</v>
      </c>
      <c r="J60" s="44">
        <v>0.1436559</v>
      </c>
      <c r="K60" s="44">
        <v>0.23395840000000001</v>
      </c>
      <c r="L60" s="44">
        <v>0.21357100000000001</v>
      </c>
    </row>
    <row r="61" spans="1:12" ht="14.45" customHeight="1" x14ac:dyDescent="0.25">
      <c r="A61" s="65" t="s">
        <v>431</v>
      </c>
      <c r="C61" s="44">
        <v>-0.14977869999999999</v>
      </c>
      <c r="D61" s="44">
        <v>-0.13909659999999999</v>
      </c>
      <c r="E61" s="44">
        <v>-6.03046E-2</v>
      </c>
      <c r="F61" s="44">
        <v>-8.9439500000000005E-2</v>
      </c>
      <c r="G61" s="44"/>
      <c r="H61" s="44"/>
      <c r="I61" s="44">
        <v>-3.6242000000000003E-2</v>
      </c>
      <c r="J61" s="44">
        <v>-5.1751999999999999E-2</v>
      </c>
      <c r="K61" s="44">
        <v>-8.2830600000000004E-2</v>
      </c>
      <c r="L61" s="44">
        <v>-0.12199069999999999</v>
      </c>
    </row>
    <row r="62" spans="1:12" ht="14.45" customHeight="1" x14ac:dyDescent="0.25">
      <c r="A62" s="65" t="s">
        <v>440</v>
      </c>
      <c r="C62" s="44">
        <v>-7.4288900000000005E-2</v>
      </c>
      <c r="D62" s="44">
        <v>-5.7931499999999997E-2</v>
      </c>
      <c r="E62" s="44">
        <v>-4.6605300000000002E-2</v>
      </c>
      <c r="F62" s="44">
        <v>-4.11884E-2</v>
      </c>
      <c r="G62" s="44">
        <v>-0.1078596</v>
      </c>
      <c r="H62" s="44">
        <v>-6.4571199999999995E-2</v>
      </c>
      <c r="I62" s="44">
        <v>-9.7686400000000007E-2</v>
      </c>
      <c r="J62" s="44">
        <v>-6.6890699999999997E-2</v>
      </c>
      <c r="K62" s="44">
        <v>-1.34372E-2</v>
      </c>
      <c r="L62" s="44">
        <v>3.8137000000000002E-3</v>
      </c>
    </row>
    <row r="63" spans="1:12" x14ac:dyDescent="0.25">
      <c r="A63" s="65" t="s">
        <v>451</v>
      </c>
      <c r="C63" s="44">
        <v>0.106756</v>
      </c>
      <c r="D63" s="44">
        <v>0.13837189999999999</v>
      </c>
      <c r="E63" s="44">
        <v>7.3311799999999996E-2</v>
      </c>
      <c r="F63" s="44">
        <v>0.1058212</v>
      </c>
      <c r="G63" s="44"/>
      <c r="H63" s="44"/>
      <c r="I63" s="44">
        <v>6.3160800000000003E-2</v>
      </c>
      <c r="J63" s="44">
        <v>7.2524000000000005E-2</v>
      </c>
      <c r="K63" s="44">
        <v>7.3391999999999999E-2</v>
      </c>
      <c r="L63" s="44">
        <v>0.14542540000000001</v>
      </c>
    </row>
    <row r="64" spans="1:12" x14ac:dyDescent="0.25">
      <c r="A64" s="65" t="s">
        <v>460</v>
      </c>
      <c r="C64" s="44">
        <v>-7.7812599999999996E-2</v>
      </c>
      <c r="D64" s="44">
        <v>-4.88332E-2</v>
      </c>
      <c r="E64" s="44">
        <v>-5.34262E-2</v>
      </c>
      <c r="F64" s="44">
        <v>-2.8088999999999999E-2</v>
      </c>
      <c r="I64" s="44">
        <v>-6.4454899999999996E-2</v>
      </c>
      <c r="J64" s="44">
        <v>-5.0119400000000001E-2</v>
      </c>
      <c r="K64" s="44">
        <v>-3.7859799999999999E-2</v>
      </c>
      <c r="L64" s="44">
        <v>1.6519699999999998E-2</v>
      </c>
    </row>
    <row r="65" spans="1:14" x14ac:dyDescent="0.25">
      <c r="A65" s="65" t="s">
        <v>3079</v>
      </c>
      <c r="C65" s="44">
        <v>3.0676800000000001E-2</v>
      </c>
      <c r="D65" s="44">
        <v>2.0040599999999999E-2</v>
      </c>
      <c r="E65" s="44">
        <v>3.2568899999999998E-2</v>
      </c>
      <c r="F65" s="44">
        <v>2.40427E-2</v>
      </c>
      <c r="G65" s="44"/>
      <c r="H65" s="44"/>
      <c r="I65" s="44">
        <v>4.8809900000000003E-2</v>
      </c>
      <c r="J65" s="44">
        <v>4.9639299999999997E-2</v>
      </c>
      <c r="K65" s="44">
        <v>1.6987200000000001E-2</v>
      </c>
      <c r="L65" s="44">
        <v>-1.0184E-2</v>
      </c>
    </row>
    <row r="66" spans="1:14" x14ac:dyDescent="0.25">
      <c r="A66" s="65" t="s">
        <v>475</v>
      </c>
      <c r="C66" s="44">
        <v>-9.07168E-2</v>
      </c>
      <c r="D66" s="44">
        <v>-0.102454</v>
      </c>
      <c r="E66" s="44">
        <v>-9.99887E-2</v>
      </c>
      <c r="F66" s="44">
        <v>-9.1232499999999994E-2</v>
      </c>
      <c r="G66" s="44">
        <v>-8.7523100000000006E-2</v>
      </c>
      <c r="H66" s="44">
        <v>-0.1230039</v>
      </c>
      <c r="I66" s="44">
        <v>-8.5681900000000005E-2</v>
      </c>
      <c r="J66" s="44">
        <v>-8.3480899999999997E-2</v>
      </c>
      <c r="K66" s="44">
        <v>-0.11571910000000001</v>
      </c>
      <c r="L66" s="44">
        <v>-0.11315450000000001</v>
      </c>
    </row>
    <row r="67" spans="1:14" x14ac:dyDescent="0.25">
      <c r="A67" s="65" t="s">
        <v>481</v>
      </c>
      <c r="C67" s="44">
        <v>-0.27051219999999998</v>
      </c>
      <c r="D67" s="44">
        <v>-0.22363549999999999</v>
      </c>
      <c r="E67" s="44">
        <v>-0.24117620000000001</v>
      </c>
      <c r="F67" s="44">
        <v>-0.20048940000000001</v>
      </c>
      <c r="G67" s="44">
        <v>-0.35685899999999998</v>
      </c>
      <c r="H67" s="44">
        <v>-0.30132969999999998</v>
      </c>
      <c r="I67" s="44">
        <v>-0.2559883</v>
      </c>
      <c r="J67" s="44">
        <v>-0.2093613</v>
      </c>
      <c r="K67" s="44">
        <v>-0.24695610000000001</v>
      </c>
      <c r="L67" s="44">
        <v>-0.2081075</v>
      </c>
    </row>
    <row r="68" spans="1:14" x14ac:dyDescent="0.25">
      <c r="A68" s="65" t="s">
        <v>492</v>
      </c>
      <c r="C68" s="44">
        <v>-8.3056400000000002E-2</v>
      </c>
      <c r="D68" s="44">
        <v>-8.9484999999999995E-2</v>
      </c>
      <c r="E68" s="44">
        <v>-8.2694100000000006E-2</v>
      </c>
      <c r="F68" s="44">
        <v>-9.6935999999999994E-2</v>
      </c>
      <c r="G68" s="44">
        <v>-0.1220248</v>
      </c>
      <c r="H68" s="44">
        <v>-0.14103180000000001</v>
      </c>
      <c r="I68" s="44">
        <v>-8.2561499999999996E-2</v>
      </c>
      <c r="J68" s="44">
        <v>-0.11946379999999999</v>
      </c>
      <c r="K68" s="44">
        <v>-0.1014342</v>
      </c>
      <c r="L68" s="44">
        <v>-8.0402500000000002E-2</v>
      </c>
    </row>
    <row r="69" spans="1:14" x14ac:dyDescent="0.25">
      <c r="A69" s="65" t="s">
        <v>501</v>
      </c>
      <c r="E69" s="44"/>
      <c r="F69" s="44"/>
      <c r="G69" s="44">
        <v>-5.3636999999999999E-3</v>
      </c>
      <c r="H69" s="44">
        <v>2.1530999999999998E-3</v>
      </c>
      <c r="I69" s="44"/>
      <c r="J69" s="44"/>
      <c r="K69" s="44"/>
      <c r="L69" s="44"/>
    </row>
    <row r="70" spans="1:14" x14ac:dyDescent="0.25">
      <c r="A70" s="65" t="s">
        <v>504</v>
      </c>
      <c r="C70" s="44">
        <v>-0.13892489999999999</v>
      </c>
      <c r="D70" s="44">
        <v>-0.13218479999999999</v>
      </c>
      <c r="E70" s="44">
        <v>-0.14447370000000001</v>
      </c>
      <c r="F70" s="44">
        <v>-0.10228669999999999</v>
      </c>
      <c r="G70" s="44">
        <v>-0.16103890000000001</v>
      </c>
      <c r="H70" s="44">
        <v>-0.15480179999999999</v>
      </c>
      <c r="I70" s="44">
        <v>-0.1357371</v>
      </c>
      <c r="J70" s="44">
        <v>-5.8563799999999999E-2</v>
      </c>
      <c r="K70" s="44">
        <v>-0.155055</v>
      </c>
      <c r="L70" s="44">
        <v>-0.16172059999999999</v>
      </c>
    </row>
    <row r="71" spans="1:14" x14ac:dyDescent="0.25">
      <c r="A71" s="65" t="s">
        <v>3144</v>
      </c>
      <c r="C71" s="44">
        <v>0.17930370000000001</v>
      </c>
      <c r="D71" s="44">
        <v>0.1887974</v>
      </c>
      <c r="E71" s="44">
        <v>0.1501217</v>
      </c>
      <c r="F71" s="44">
        <v>0.15100730000000001</v>
      </c>
      <c r="G71" s="44">
        <v>0.21972810000000001</v>
      </c>
      <c r="H71" s="44">
        <v>0.2306299</v>
      </c>
      <c r="I71" s="44">
        <v>0.15883330000000001</v>
      </c>
      <c r="J71" s="44">
        <v>0.14400769999999999</v>
      </c>
      <c r="K71" s="44">
        <v>0.140267</v>
      </c>
      <c r="L71" s="44">
        <v>0.16242390000000001</v>
      </c>
    </row>
    <row r="72" spans="1:14" x14ac:dyDescent="0.25">
      <c r="A72" s="65" t="s">
        <v>3145</v>
      </c>
      <c r="C72" s="44">
        <v>1.32073E-2</v>
      </c>
      <c r="D72" s="44">
        <v>9.1697899999999999E-2</v>
      </c>
      <c r="E72" s="44">
        <v>5.0257000000000001E-3</v>
      </c>
      <c r="F72" s="44">
        <v>5.5599999999999997E-2</v>
      </c>
      <c r="G72" s="44">
        <v>3.26667E-2</v>
      </c>
      <c r="H72" s="44">
        <v>0.1472194</v>
      </c>
      <c r="I72" s="44">
        <v>3.2149999999999998E-2</v>
      </c>
      <c r="J72" s="44">
        <v>6.9124599999999994E-2</v>
      </c>
      <c r="K72" s="44">
        <v>-2.82752E-2</v>
      </c>
      <c r="L72" s="44">
        <v>4.1237700000000002E-2</v>
      </c>
    </row>
    <row r="73" spans="1:14" x14ac:dyDescent="0.25">
      <c r="A73" s="65" t="s">
        <v>2395</v>
      </c>
      <c r="C73" s="44">
        <v>-3.7383410000000001</v>
      </c>
      <c r="D73" s="44">
        <v>-3.5107050000000002</v>
      </c>
      <c r="E73" s="44">
        <v>-4.174614</v>
      </c>
      <c r="F73" s="44">
        <v>-3.8514599999999999</v>
      </c>
      <c r="G73" s="44">
        <v>-4.8415059999999999</v>
      </c>
      <c r="H73" s="44">
        <v>-4.5569069999999998</v>
      </c>
      <c r="I73" s="44">
        <v>-4.9899319999999996</v>
      </c>
      <c r="J73" s="44">
        <v>-4.5056399999999996</v>
      </c>
      <c r="K73" s="44">
        <v>-4.7222179999999998</v>
      </c>
      <c r="L73" s="44">
        <v>-4.594023</v>
      </c>
    </row>
    <row r="74" spans="1:14" ht="58.35" customHeight="1" x14ac:dyDescent="0.25">
      <c r="A74" s="239" t="s">
        <v>3139</v>
      </c>
      <c r="B74" s="239"/>
      <c r="C74" s="239"/>
      <c r="D74" s="239"/>
      <c r="E74" s="239"/>
      <c r="F74" s="239"/>
      <c r="G74" s="239"/>
      <c r="H74" s="239"/>
      <c r="I74" s="239"/>
      <c r="J74" s="239"/>
      <c r="K74" s="239"/>
      <c r="L74" s="239"/>
      <c r="M74" s="186"/>
      <c r="N74" s="186"/>
    </row>
    <row r="75" spans="1:14" x14ac:dyDescent="0.25">
      <c r="A75" s="33" t="s">
        <v>3140</v>
      </c>
      <c r="B75" s="65"/>
      <c r="C75" s="44">
        <v>0.99960000000000004</v>
      </c>
      <c r="D75" s="118">
        <v>0.999</v>
      </c>
      <c r="E75" s="44">
        <v>0.99939999999999996</v>
      </c>
      <c r="F75" s="44">
        <v>0.99870000000000003</v>
      </c>
      <c r="G75" s="44">
        <v>0.99950000000000006</v>
      </c>
      <c r="H75" s="44">
        <v>0.99919999999999998</v>
      </c>
      <c r="I75" s="44">
        <v>0.99939999999999996</v>
      </c>
      <c r="J75" s="44">
        <v>0.99870000000000003</v>
      </c>
      <c r="K75" s="44">
        <v>0.99929999999999997</v>
      </c>
      <c r="L75" s="44">
        <v>0.99850000000000005</v>
      </c>
    </row>
    <row r="76" spans="1:14" x14ac:dyDescent="0.25">
      <c r="E76" s="44"/>
      <c r="F76" s="118"/>
      <c r="G76" s="44"/>
      <c r="H76" s="44"/>
      <c r="I76" s="44"/>
      <c r="J76" s="44"/>
      <c r="K76" s="44"/>
      <c r="L76" s="44"/>
      <c r="M76" s="44"/>
      <c r="N76" s="44"/>
    </row>
    <row r="77" spans="1:14" x14ac:dyDescent="0.25">
      <c r="A77" s="65" t="s">
        <v>3169</v>
      </c>
      <c r="B77" s="65"/>
      <c r="C77" s="65"/>
      <c r="D77" s="65"/>
      <c r="E77" s="44"/>
      <c r="F77" s="118"/>
      <c r="G77" s="44"/>
      <c r="H77" s="44"/>
      <c r="I77" s="44"/>
      <c r="J77" s="44"/>
      <c r="K77" s="44"/>
      <c r="L77" s="44"/>
      <c r="M77" s="44"/>
      <c r="N77" s="44"/>
    </row>
    <row r="78" spans="1:14" x14ac:dyDescent="0.25">
      <c r="A78" s="65" t="s">
        <v>2397</v>
      </c>
      <c r="B78" s="65"/>
      <c r="C78" s="44">
        <v>1.0376000000000001</v>
      </c>
      <c r="D78" s="44">
        <v>1.0008999999999999</v>
      </c>
      <c r="E78" s="44">
        <v>1.0377000000000001</v>
      </c>
      <c r="F78" s="118">
        <v>0.99199999999999999</v>
      </c>
      <c r="G78" s="44">
        <v>1.0290999999999999</v>
      </c>
      <c r="H78" s="44">
        <v>0.99819999999999998</v>
      </c>
      <c r="I78" s="44">
        <v>1.0166999999999999</v>
      </c>
      <c r="J78" s="44">
        <v>0.98680000000000001</v>
      </c>
      <c r="K78" s="44">
        <v>1.0507</v>
      </c>
      <c r="L78" s="44">
        <v>1.0045999999999999</v>
      </c>
    </row>
    <row r="79" spans="1:14" x14ac:dyDescent="0.25">
      <c r="A79" s="65" t="s">
        <v>2396</v>
      </c>
      <c r="B79" s="65"/>
      <c r="C79" s="118">
        <v>0.99099999999999999</v>
      </c>
      <c r="D79" s="118">
        <v>0.99529999999999996</v>
      </c>
      <c r="E79" s="118">
        <v>0.99819999999999998</v>
      </c>
      <c r="F79" s="118">
        <v>0.997</v>
      </c>
      <c r="G79" s="118">
        <v>0.97809999999999997</v>
      </c>
      <c r="H79" s="118">
        <v>0.9909</v>
      </c>
      <c r="I79" s="118">
        <v>0.99760000000000004</v>
      </c>
      <c r="J79" s="118">
        <v>0.99670000000000003</v>
      </c>
      <c r="K79" s="118">
        <v>0.99809999999999999</v>
      </c>
      <c r="L79" s="118">
        <v>0.99650000000000005</v>
      </c>
    </row>
  </sheetData>
  <mergeCells count="21">
    <mergeCell ref="E3:N3"/>
    <mergeCell ref="E4:F4"/>
    <mergeCell ref="G4:H4"/>
    <mergeCell ref="I4:J4"/>
    <mergeCell ref="K4:L4"/>
    <mergeCell ref="M4:N4"/>
    <mergeCell ref="A74:L74"/>
    <mergeCell ref="K17:L17"/>
    <mergeCell ref="B43:B44"/>
    <mergeCell ref="A47:A48"/>
    <mergeCell ref="C47:D47"/>
    <mergeCell ref="E47:F47"/>
    <mergeCell ref="G47:H47"/>
    <mergeCell ref="I47:J47"/>
    <mergeCell ref="K47:L47"/>
    <mergeCell ref="A17:A18"/>
    <mergeCell ref="B17:B18"/>
    <mergeCell ref="C17:D17"/>
    <mergeCell ref="E17:F17"/>
    <mergeCell ref="G17:H17"/>
    <mergeCell ref="I17:J17"/>
  </mergeCells>
  <pageMargins left="0.25" right="0.25" top="0.75" bottom="0.75" header="0.3" footer="0.3"/>
  <pageSetup scale="88" orientation="landscape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7C6F7-6B07-4804-A4B3-7C74B54B461C}">
  <sheetPr>
    <pageSetUpPr fitToPage="1"/>
  </sheetPr>
  <dimension ref="A1:N81"/>
  <sheetViews>
    <sheetView topLeftCell="A49" workbookViewId="0">
      <selection activeCell="A79" sqref="A79"/>
    </sheetView>
  </sheetViews>
  <sheetFormatPr defaultColWidth="8.85546875" defaultRowHeight="15" x14ac:dyDescent="0.25"/>
  <cols>
    <col min="1" max="1" width="48.42578125" style="33" customWidth="1"/>
    <col min="2" max="2" width="23.85546875" style="33" customWidth="1"/>
    <col min="3" max="3" width="11.5703125" style="33" customWidth="1"/>
    <col min="4" max="12" width="11.42578125" style="33" customWidth="1"/>
    <col min="13" max="14" width="11.140625" style="33" customWidth="1"/>
    <col min="15" max="16384" width="8.85546875" style="33"/>
  </cols>
  <sheetData>
    <row r="1" spans="1:14" x14ac:dyDescent="0.25">
      <c r="A1" s="65" t="s">
        <v>3146</v>
      </c>
      <c r="B1" s="65"/>
      <c r="C1" s="65"/>
      <c r="D1" s="65"/>
    </row>
    <row r="2" spans="1:14" ht="15.75" thickBot="1" x14ac:dyDescent="0.3">
      <c r="A2" s="65"/>
      <c r="B2" s="65"/>
      <c r="C2" s="65"/>
      <c r="D2" s="65"/>
    </row>
    <row r="3" spans="1:14" x14ac:dyDescent="0.25">
      <c r="A3" s="166" t="s">
        <v>3108</v>
      </c>
      <c r="B3" s="167" t="s">
        <v>3082</v>
      </c>
      <c r="C3" s="168" t="s">
        <v>3107</v>
      </c>
      <c r="D3" s="65"/>
      <c r="E3" s="241" t="s">
        <v>3111</v>
      </c>
      <c r="F3" s="242"/>
      <c r="G3" s="242"/>
      <c r="H3" s="242"/>
      <c r="I3" s="242"/>
      <c r="J3" s="242"/>
      <c r="K3" s="242"/>
      <c r="L3" s="242"/>
      <c r="M3" s="242"/>
      <c r="N3" s="243"/>
    </row>
    <row r="4" spans="1:14" x14ac:dyDescent="0.25">
      <c r="A4" s="169" t="s">
        <v>3112</v>
      </c>
      <c r="B4" s="33" t="s">
        <v>3083</v>
      </c>
      <c r="C4" s="170">
        <v>50</v>
      </c>
      <c r="D4" s="65"/>
      <c r="E4" s="244" t="s">
        <v>35</v>
      </c>
      <c r="F4" s="192"/>
      <c r="G4" s="192" t="s">
        <v>36</v>
      </c>
      <c r="H4" s="192"/>
      <c r="I4" s="192" t="s">
        <v>327</v>
      </c>
      <c r="J4" s="192"/>
      <c r="K4" s="192" t="s">
        <v>328</v>
      </c>
      <c r="L4" s="192"/>
      <c r="M4" s="192" t="s">
        <v>39</v>
      </c>
      <c r="N4" s="245"/>
    </row>
    <row r="5" spans="1:14" x14ac:dyDescent="0.25">
      <c r="A5" s="169" t="s">
        <v>3113</v>
      </c>
      <c r="B5" s="33" t="s">
        <v>3084</v>
      </c>
      <c r="C5" s="170">
        <v>200</v>
      </c>
      <c r="D5" s="65"/>
      <c r="E5" s="171" t="s">
        <v>330</v>
      </c>
      <c r="F5" s="124" t="s">
        <v>331</v>
      </c>
      <c r="G5" s="124" t="s">
        <v>330</v>
      </c>
      <c r="H5" s="124" t="s">
        <v>331</v>
      </c>
      <c r="I5" s="124" t="s">
        <v>330</v>
      </c>
      <c r="J5" s="124" t="s">
        <v>331</v>
      </c>
      <c r="K5" s="124" t="s">
        <v>330</v>
      </c>
      <c r="L5" s="124" t="s">
        <v>331</v>
      </c>
      <c r="M5" s="124" t="s">
        <v>330</v>
      </c>
      <c r="N5" s="172" t="s">
        <v>331</v>
      </c>
    </row>
    <row r="6" spans="1:14" ht="15.75" thickBot="1" x14ac:dyDescent="0.3">
      <c r="A6" s="169" t="s">
        <v>3114</v>
      </c>
      <c r="B6" s="33" t="s">
        <v>3085</v>
      </c>
      <c r="C6" s="170">
        <v>45</v>
      </c>
      <c r="D6" s="65"/>
      <c r="E6" s="173">
        <f t="shared" ref="E6:N6" si="0">C45</f>
        <v>0.13586705019403117</v>
      </c>
      <c r="F6" s="174">
        <f t="shared" si="0"/>
        <v>0.15505913071254415</v>
      </c>
      <c r="G6" s="174">
        <f t="shared" si="0"/>
        <v>8.3498039938832785E-2</v>
      </c>
      <c r="H6" s="174">
        <f t="shared" si="0"/>
        <v>9.3680585178157597E-2</v>
      </c>
      <c r="I6" s="174">
        <f t="shared" si="0"/>
        <v>8.0566896612877525E-2</v>
      </c>
      <c r="J6" s="174">
        <f t="shared" si="0"/>
        <v>0.10126552703216025</v>
      </c>
      <c r="K6" s="174">
        <f t="shared" si="0"/>
        <v>4.1083068164957402E-2</v>
      </c>
      <c r="L6" s="174">
        <f t="shared" si="0"/>
        <v>5.1428806051975667E-2</v>
      </c>
      <c r="M6" s="174">
        <f t="shared" si="0"/>
        <v>4.5702456823803861E-2</v>
      </c>
      <c r="N6" s="175">
        <f t="shared" si="0"/>
        <v>4.6684562205801083E-2</v>
      </c>
    </row>
    <row r="7" spans="1:14" x14ac:dyDescent="0.25">
      <c r="A7" s="176" t="s">
        <v>3115</v>
      </c>
      <c r="B7" s="156" t="s">
        <v>3086</v>
      </c>
      <c r="C7" s="170">
        <v>160</v>
      </c>
      <c r="D7" s="65"/>
      <c r="E7" s="33" t="s">
        <v>3159</v>
      </c>
    </row>
    <row r="8" spans="1:14" x14ac:dyDescent="0.25">
      <c r="A8" s="169" t="s">
        <v>3087</v>
      </c>
      <c r="B8" s="177" t="s">
        <v>3088</v>
      </c>
      <c r="C8" s="170">
        <v>1</v>
      </c>
      <c r="D8" s="65"/>
    </row>
    <row r="9" spans="1:14" x14ac:dyDescent="0.25">
      <c r="A9" s="169" t="s">
        <v>3116</v>
      </c>
      <c r="B9" s="177" t="s">
        <v>3088</v>
      </c>
      <c r="C9" s="170">
        <v>0</v>
      </c>
      <c r="D9" s="65"/>
    </row>
    <row r="10" spans="1:14" ht="14.45" customHeight="1" x14ac:dyDescent="0.25">
      <c r="A10" s="178" t="s">
        <v>3117</v>
      </c>
      <c r="B10" s="156" t="s">
        <v>3118</v>
      </c>
      <c r="C10" s="170">
        <v>35</v>
      </c>
      <c r="D10" s="65"/>
      <c r="E10" s="118"/>
      <c r="F10" s="118"/>
      <c r="G10" s="118"/>
      <c r="H10" s="118"/>
      <c r="I10" s="118"/>
      <c r="J10" s="118"/>
      <c r="K10" s="118"/>
      <c r="L10" s="118"/>
      <c r="M10" s="118"/>
      <c r="N10" s="118"/>
    </row>
    <row r="11" spans="1:14" ht="14.45" customHeight="1" x14ac:dyDescent="0.25">
      <c r="A11" s="176" t="s">
        <v>3119</v>
      </c>
      <c r="B11" s="156" t="s">
        <v>3120</v>
      </c>
      <c r="C11" s="170">
        <v>90</v>
      </c>
      <c r="D11" s="65"/>
      <c r="E11" s="118"/>
      <c r="F11" s="118"/>
      <c r="G11" s="118"/>
      <c r="H11" s="118"/>
      <c r="I11" s="118"/>
      <c r="J11" s="118"/>
      <c r="K11" s="118"/>
      <c r="L11" s="118"/>
      <c r="M11" s="118"/>
      <c r="N11" s="118"/>
    </row>
    <row r="12" spans="1:14" x14ac:dyDescent="0.25">
      <c r="A12" s="169" t="s">
        <v>3121</v>
      </c>
      <c r="B12" s="177" t="s">
        <v>3088</v>
      </c>
      <c r="C12" s="170">
        <v>1</v>
      </c>
      <c r="D12" s="65"/>
      <c r="E12" s="118"/>
      <c r="F12" s="118"/>
      <c r="G12" s="118"/>
      <c r="H12" s="118"/>
      <c r="I12" s="118"/>
      <c r="J12" s="118"/>
      <c r="K12" s="118"/>
      <c r="L12" s="118"/>
      <c r="M12" s="118"/>
      <c r="N12" s="118"/>
    </row>
    <row r="13" spans="1:14" x14ac:dyDescent="0.25">
      <c r="A13" s="169" t="s">
        <v>3089</v>
      </c>
      <c r="B13" s="177" t="s">
        <v>3088</v>
      </c>
      <c r="C13" s="170">
        <v>0</v>
      </c>
      <c r="D13" s="65"/>
      <c r="E13" s="118"/>
      <c r="F13" s="118"/>
      <c r="G13" s="118"/>
      <c r="H13" s="118"/>
      <c r="I13" s="118"/>
      <c r="J13" s="118"/>
      <c r="K13" s="118"/>
      <c r="L13" s="118"/>
      <c r="M13" s="118"/>
      <c r="N13" s="118"/>
    </row>
    <row r="14" spans="1:14" ht="15.75" thickBot="1" x14ac:dyDescent="0.3">
      <c r="A14" s="179" t="s">
        <v>3147</v>
      </c>
      <c r="B14" s="187" t="s">
        <v>3101</v>
      </c>
      <c r="C14" s="181">
        <v>7.5</v>
      </c>
      <c r="D14" s="65"/>
      <c r="E14" s="118"/>
      <c r="F14" s="118"/>
      <c r="G14" s="118"/>
      <c r="H14" s="118"/>
      <c r="I14" s="118"/>
      <c r="J14" s="118"/>
      <c r="K14" s="118"/>
      <c r="L14" s="118"/>
      <c r="M14" s="118"/>
      <c r="N14" s="118"/>
    </row>
    <row r="15" spans="1:14" x14ac:dyDescent="0.25">
      <c r="A15" s="65"/>
      <c r="B15" s="65"/>
      <c r="C15" s="65"/>
      <c r="D15" s="65"/>
      <c r="E15" s="118"/>
      <c r="F15" s="118"/>
      <c r="G15" s="118"/>
      <c r="H15" s="118"/>
      <c r="I15" s="118"/>
      <c r="J15" s="118"/>
      <c r="K15" s="118"/>
      <c r="L15" s="118"/>
      <c r="M15" s="118"/>
      <c r="N15" s="118"/>
    </row>
    <row r="16" spans="1:14" x14ac:dyDescent="0.25">
      <c r="A16" s="65" t="s">
        <v>3122</v>
      </c>
      <c r="B16" s="65"/>
      <c r="C16" s="65"/>
      <c r="D16" s="65"/>
      <c r="E16" s="118"/>
      <c r="F16" s="118"/>
      <c r="G16" s="118"/>
      <c r="H16" s="118"/>
      <c r="I16" s="118"/>
      <c r="J16" s="118"/>
      <c r="K16" s="118"/>
      <c r="L16" s="118"/>
      <c r="M16" s="118"/>
      <c r="N16" s="118"/>
    </row>
    <row r="17" spans="1:12" ht="15" customHeight="1" x14ac:dyDescent="0.25">
      <c r="A17" s="236" t="s">
        <v>3168</v>
      </c>
      <c r="B17" s="236" t="s">
        <v>3109</v>
      </c>
      <c r="C17" s="192" t="s">
        <v>35</v>
      </c>
      <c r="D17" s="192"/>
      <c r="E17" s="192" t="s">
        <v>36</v>
      </c>
      <c r="F17" s="192"/>
      <c r="G17" s="192" t="s">
        <v>327</v>
      </c>
      <c r="H17" s="192"/>
      <c r="I17" s="192" t="s">
        <v>328</v>
      </c>
      <c r="J17" s="192"/>
      <c r="K17" s="192" t="s">
        <v>39</v>
      </c>
      <c r="L17" s="192"/>
    </row>
    <row r="18" spans="1:12" x14ac:dyDescent="0.25">
      <c r="A18" s="236"/>
      <c r="B18" s="236"/>
      <c r="C18" s="124" t="s">
        <v>330</v>
      </c>
      <c r="D18" s="124" t="s">
        <v>331</v>
      </c>
      <c r="E18" s="124" t="s">
        <v>330</v>
      </c>
      <c r="F18" s="124" t="s">
        <v>331</v>
      </c>
      <c r="G18" s="124" t="s">
        <v>330</v>
      </c>
      <c r="H18" s="124" t="s">
        <v>331</v>
      </c>
      <c r="I18" s="124" t="s">
        <v>330</v>
      </c>
      <c r="J18" s="124" t="s">
        <v>331</v>
      </c>
      <c r="K18" s="124" t="s">
        <v>330</v>
      </c>
      <c r="L18" s="124" t="s">
        <v>331</v>
      </c>
    </row>
    <row r="19" spans="1:12" x14ac:dyDescent="0.25">
      <c r="A19" s="33" t="s">
        <v>3123</v>
      </c>
      <c r="B19" s="177">
        <f>IF(AND(C4&gt;=30,C4&lt;80),(C4-55)/10, "out of range")</f>
        <v>-0.5</v>
      </c>
      <c r="C19" s="177">
        <f t="shared" ref="C19:L34" si="1">$B19*C50</f>
        <v>-0.39290890000000001</v>
      </c>
      <c r="D19" s="177">
        <f t="shared" si="1"/>
        <v>-0.38495885000000002</v>
      </c>
      <c r="E19" s="177">
        <f t="shared" si="1"/>
        <v>-0.35559154999999998</v>
      </c>
      <c r="F19" s="177">
        <f t="shared" si="1"/>
        <v>-0.3532073</v>
      </c>
      <c r="G19" s="177">
        <f t="shared" si="1"/>
        <v>-0.44986955000000001</v>
      </c>
      <c r="H19" s="177">
        <f t="shared" si="1"/>
        <v>-0.45589350000000001</v>
      </c>
      <c r="I19" s="177">
        <f t="shared" si="1"/>
        <v>-0.37797075000000002</v>
      </c>
      <c r="J19" s="177">
        <f t="shared" si="1"/>
        <v>-0.36118210000000001</v>
      </c>
      <c r="K19" s="177">
        <f t="shared" si="1"/>
        <v>-0.34274785000000002</v>
      </c>
      <c r="L19" s="177">
        <f t="shared" si="1"/>
        <v>-0.36222339999999997</v>
      </c>
    </row>
    <row r="20" spans="1:12" x14ac:dyDescent="0.25">
      <c r="A20" s="33" t="s">
        <v>3124</v>
      </c>
      <c r="B20" s="177">
        <f>IF(AND(C5&gt;=130,C5&lt;=320,C6&gt;=20,C6&lt;=100),(C5-C6)*0.02586-3.5,"out of range")</f>
        <v>0.5083000000000002</v>
      </c>
      <c r="C20" s="177">
        <f t="shared" si="1"/>
        <v>9.8832835400000044E-3</v>
      </c>
      <c r="D20" s="177">
        <f t="shared" si="1"/>
        <v>3.0756877190000014E-2</v>
      </c>
      <c r="E20" s="177">
        <f t="shared" si="1"/>
        <v>5.4284915100000025E-2</v>
      </c>
      <c r="F20" s="177">
        <f t="shared" si="1"/>
        <v>7.7885131610000033E-2</v>
      </c>
      <c r="G20" s="177">
        <f t="shared" si="1"/>
        <v>0</v>
      </c>
      <c r="H20" s="177">
        <f t="shared" si="1"/>
        <v>0</v>
      </c>
      <c r="I20" s="177">
        <f t="shared" si="1"/>
        <v>8.4577714390000031E-2</v>
      </c>
      <c r="J20" s="177">
        <f t="shared" si="1"/>
        <v>0.12420773053000005</v>
      </c>
      <c r="K20" s="177">
        <f t="shared" si="1"/>
        <v>2.198956630000001E-2</v>
      </c>
      <c r="L20" s="177">
        <f t="shared" si="1"/>
        <v>6.8257573800000028E-3</v>
      </c>
    </row>
    <row r="21" spans="1:12" x14ac:dyDescent="0.25">
      <c r="A21" s="33" t="s">
        <v>3125</v>
      </c>
      <c r="B21" s="177">
        <f>IF(AND(C6&gt;=20,C6&lt;=100),(C6*0.02586-1.3)/0.3,"out of range")</f>
        <v>-0.45433333333333364</v>
      </c>
      <c r="C21" s="177">
        <f t="shared" si="1"/>
        <v>6.914789773333338E-2</v>
      </c>
      <c r="D21" s="177">
        <f t="shared" si="1"/>
        <v>4.0368652500000025E-2</v>
      </c>
      <c r="E21" s="177">
        <f t="shared" si="1"/>
        <v>6.4776347833333373E-2</v>
      </c>
      <c r="F21" s="177">
        <f t="shared" si="1"/>
        <v>4.9166408600000031E-2</v>
      </c>
      <c r="G21" s="177">
        <f t="shared" si="1"/>
        <v>0</v>
      </c>
      <c r="H21" s="177">
        <f t="shared" si="1"/>
        <v>0</v>
      </c>
      <c r="I21" s="177">
        <f t="shared" si="1"/>
        <v>8.6550681733333384E-2</v>
      </c>
      <c r="J21" s="177">
        <f t="shared" si="1"/>
        <v>7.9746222266666722E-2</v>
      </c>
      <c r="K21" s="177">
        <f t="shared" si="1"/>
        <v>4.4696995300000035E-2</v>
      </c>
      <c r="L21" s="177">
        <f t="shared" si="1"/>
        <v>9.2846197000000068E-3</v>
      </c>
    </row>
    <row r="22" spans="1:12" x14ac:dyDescent="0.25">
      <c r="A22" s="33" t="s">
        <v>3090</v>
      </c>
      <c r="B22" s="177">
        <f>IF(AND(C7&gt;=90,C7&lt;=200),(MIN(C7,110)-110)/20,"out of range")</f>
        <v>0</v>
      </c>
      <c r="C22" s="177">
        <f t="shared" si="1"/>
        <v>0</v>
      </c>
      <c r="D22" s="177">
        <f t="shared" si="1"/>
        <v>0</v>
      </c>
      <c r="E22" s="177">
        <f t="shared" si="1"/>
        <v>0</v>
      </c>
      <c r="F22" s="177">
        <f t="shared" si="1"/>
        <v>0</v>
      </c>
      <c r="G22" s="177">
        <f t="shared" si="1"/>
        <v>0</v>
      </c>
      <c r="H22" s="177">
        <f t="shared" si="1"/>
        <v>0</v>
      </c>
      <c r="I22" s="177">
        <f t="shared" si="1"/>
        <v>0</v>
      </c>
      <c r="J22" s="177">
        <f t="shared" si="1"/>
        <v>0</v>
      </c>
      <c r="K22" s="177">
        <f t="shared" si="1"/>
        <v>0</v>
      </c>
      <c r="L22" s="177">
        <f t="shared" si="1"/>
        <v>0</v>
      </c>
    </row>
    <row r="23" spans="1:12" x14ac:dyDescent="0.25">
      <c r="A23" s="33" t="s">
        <v>3091</v>
      </c>
      <c r="B23" s="177">
        <f>IF(AND(C7&gt;=90,C7&lt;=200),(MAX(C7,110)-130)/20,"out of range")</f>
        <v>1.5</v>
      </c>
      <c r="C23" s="177">
        <f t="shared" si="1"/>
        <v>0.51986654999999993</v>
      </c>
      <c r="D23" s="177">
        <f t="shared" si="1"/>
        <v>0.49329855</v>
      </c>
      <c r="E23" s="177">
        <f t="shared" si="1"/>
        <v>0.5221266</v>
      </c>
      <c r="F23" s="177">
        <f t="shared" si="1"/>
        <v>0.47607135</v>
      </c>
      <c r="G23" s="177">
        <f t="shared" si="1"/>
        <v>0.50680364999999994</v>
      </c>
      <c r="H23" s="177">
        <f t="shared" si="1"/>
        <v>0.52869675000000005</v>
      </c>
      <c r="I23" s="177">
        <f t="shared" si="1"/>
        <v>0.50947049999999994</v>
      </c>
      <c r="J23" s="177">
        <f t="shared" si="1"/>
        <v>0.45853379999999999</v>
      </c>
      <c r="K23" s="177">
        <f t="shared" si="1"/>
        <v>0.53489324999999999</v>
      </c>
      <c r="L23" s="177">
        <f t="shared" si="1"/>
        <v>0.51128430000000002</v>
      </c>
    </row>
    <row r="24" spans="1:12" x14ac:dyDescent="0.25">
      <c r="A24" s="33" t="s">
        <v>372</v>
      </c>
      <c r="B24" s="177">
        <f>IF(OR(C8=0,C8=1),C8,"out of range")</f>
        <v>1</v>
      </c>
      <c r="C24" s="177">
        <f t="shared" si="1"/>
        <v>0.53662410000000005</v>
      </c>
      <c r="D24" s="177">
        <f t="shared" si="1"/>
        <v>0.47594710000000001</v>
      </c>
      <c r="E24" s="177">
        <f t="shared" si="1"/>
        <v>0.5112951</v>
      </c>
      <c r="F24" s="177">
        <f t="shared" si="1"/>
        <v>0.43260399999999999</v>
      </c>
      <c r="G24" s="177">
        <f t="shared" si="1"/>
        <v>0.681284</v>
      </c>
      <c r="H24" s="177">
        <f t="shared" si="1"/>
        <v>0.58497520000000003</v>
      </c>
      <c r="I24" s="177">
        <f t="shared" si="1"/>
        <v>0.56322280000000002</v>
      </c>
      <c r="J24" s="177">
        <f t="shared" si="1"/>
        <v>0.48748409999999998</v>
      </c>
      <c r="K24" s="177">
        <f t="shared" si="1"/>
        <v>0.46095550000000002</v>
      </c>
      <c r="L24" s="177">
        <f t="shared" si="1"/>
        <v>0.35354999999999998</v>
      </c>
    </row>
    <row r="25" spans="1:12" x14ac:dyDescent="0.25">
      <c r="A25" s="33" t="s">
        <v>3126</v>
      </c>
      <c r="B25" s="177">
        <f>IF(OR(C9=0,C9=1),C9,"out of range")</f>
        <v>0</v>
      </c>
      <c r="C25" s="177">
        <f t="shared" si="1"/>
        <v>0</v>
      </c>
      <c r="D25" s="177">
        <f t="shared" si="1"/>
        <v>0</v>
      </c>
      <c r="E25" s="177">
        <f t="shared" si="1"/>
        <v>0</v>
      </c>
      <c r="F25" s="177">
        <f t="shared" si="1"/>
        <v>0</v>
      </c>
      <c r="G25" s="177">
        <f t="shared" si="1"/>
        <v>0</v>
      </c>
      <c r="H25" s="177">
        <f t="shared" si="1"/>
        <v>0</v>
      </c>
      <c r="I25" s="177">
        <f t="shared" si="1"/>
        <v>0</v>
      </c>
      <c r="J25" s="177">
        <f t="shared" si="1"/>
        <v>0</v>
      </c>
      <c r="K25" s="177">
        <f t="shared" si="1"/>
        <v>0</v>
      </c>
      <c r="L25" s="177">
        <f t="shared" si="1"/>
        <v>0</v>
      </c>
    </row>
    <row r="26" spans="1:12" x14ac:dyDescent="0.25">
      <c r="A26" s="33" t="s">
        <v>3092</v>
      </c>
      <c r="B26" s="177">
        <f>IF(AND(C10&gt;=18.5,C10&lt;40),(MIN(C10,30)-25)/5,"out of range")</f>
        <v>1</v>
      </c>
      <c r="C26" s="177">
        <f t="shared" si="1"/>
        <v>0</v>
      </c>
      <c r="D26" s="177">
        <f t="shared" si="1"/>
        <v>0</v>
      </c>
      <c r="E26" s="177">
        <f t="shared" si="1"/>
        <v>0</v>
      </c>
      <c r="F26" s="177">
        <f t="shared" si="1"/>
        <v>0</v>
      </c>
      <c r="G26" s="177">
        <f t="shared" si="1"/>
        <v>-1.4865700000000001E-2</v>
      </c>
      <c r="H26" s="177">
        <f t="shared" si="1"/>
        <v>-5.1235200000000002E-2</v>
      </c>
      <c r="I26" s="177">
        <f t="shared" si="1"/>
        <v>0</v>
      </c>
      <c r="J26" s="177">
        <f t="shared" si="1"/>
        <v>0</v>
      </c>
      <c r="K26" s="177">
        <f t="shared" si="1"/>
        <v>0</v>
      </c>
      <c r="L26" s="177">
        <f t="shared" si="1"/>
        <v>0</v>
      </c>
    </row>
    <row r="27" spans="1:12" x14ac:dyDescent="0.25">
      <c r="A27" s="33" t="s">
        <v>3093</v>
      </c>
      <c r="B27" s="177">
        <f>IF(AND(C10&gt;=18.5,C10&lt;40),(MAX(C10,30)-30)/5,"out of range")</f>
        <v>1</v>
      </c>
      <c r="C27" s="177">
        <f t="shared" si="1"/>
        <v>0</v>
      </c>
      <c r="D27" s="177">
        <f t="shared" si="1"/>
        <v>0</v>
      </c>
      <c r="E27" s="177">
        <f t="shared" si="1"/>
        <v>0</v>
      </c>
      <c r="F27" s="177">
        <f t="shared" si="1"/>
        <v>0</v>
      </c>
      <c r="G27" s="177">
        <f t="shared" si="1"/>
        <v>0.29583739999999997</v>
      </c>
      <c r="H27" s="177">
        <f t="shared" si="1"/>
        <v>0.36529400000000001</v>
      </c>
      <c r="I27" s="177">
        <f t="shared" si="1"/>
        <v>0</v>
      </c>
      <c r="J27" s="177">
        <f t="shared" si="1"/>
        <v>0</v>
      </c>
      <c r="K27" s="177">
        <f t="shared" si="1"/>
        <v>0</v>
      </c>
      <c r="L27" s="177">
        <f t="shared" si="1"/>
        <v>0</v>
      </c>
    </row>
    <row r="28" spans="1:12" x14ac:dyDescent="0.25">
      <c r="A28" s="33" t="s">
        <v>3094</v>
      </c>
      <c r="B28" s="177">
        <f>IF(AND(C11&gt;=15,C11&lt;=150),(MIN(C11,60)-60)/-15,"out of range")</f>
        <v>0</v>
      </c>
      <c r="C28" s="177">
        <f t="shared" si="1"/>
        <v>0</v>
      </c>
      <c r="D28" s="177">
        <f t="shared" si="1"/>
        <v>0</v>
      </c>
      <c r="E28" s="177">
        <f t="shared" si="1"/>
        <v>0</v>
      </c>
      <c r="F28" s="177">
        <f t="shared" si="1"/>
        <v>0</v>
      </c>
      <c r="G28" s="177">
        <f t="shared" si="1"/>
        <v>0</v>
      </c>
      <c r="H28" s="177">
        <f t="shared" si="1"/>
        <v>0</v>
      </c>
      <c r="I28" s="177">
        <f t="shared" si="1"/>
        <v>0</v>
      </c>
      <c r="J28" s="177">
        <f t="shared" si="1"/>
        <v>0</v>
      </c>
      <c r="K28" s="177">
        <f t="shared" si="1"/>
        <v>0</v>
      </c>
      <c r="L28" s="177">
        <f t="shared" si="1"/>
        <v>0</v>
      </c>
    </row>
    <row r="29" spans="1:12" x14ac:dyDescent="0.25">
      <c r="A29" s="33" t="s">
        <v>3095</v>
      </c>
      <c r="B29" s="177">
        <f>IF(AND(C11&gt;=15,C11&lt;=150),(MAX(C11,60)-90)/-15,"out of range")</f>
        <v>0</v>
      </c>
      <c r="C29" s="177">
        <f t="shared" si="1"/>
        <v>0</v>
      </c>
      <c r="D29" s="177">
        <f t="shared" si="1"/>
        <v>0</v>
      </c>
      <c r="E29" s="177">
        <f t="shared" si="1"/>
        <v>0</v>
      </c>
      <c r="F29" s="177">
        <f t="shared" si="1"/>
        <v>0</v>
      </c>
      <c r="G29" s="177">
        <f t="shared" si="1"/>
        <v>0</v>
      </c>
      <c r="H29" s="177">
        <f t="shared" si="1"/>
        <v>0</v>
      </c>
      <c r="I29" s="177">
        <f t="shared" si="1"/>
        <v>0</v>
      </c>
      <c r="J29" s="177">
        <f t="shared" si="1"/>
        <v>0</v>
      </c>
      <c r="K29" s="177">
        <f t="shared" si="1"/>
        <v>0</v>
      </c>
      <c r="L29" s="177">
        <f t="shared" si="1"/>
        <v>0</v>
      </c>
    </row>
    <row r="30" spans="1:12" x14ac:dyDescent="0.25">
      <c r="A30" s="33" t="s">
        <v>3127</v>
      </c>
      <c r="B30" s="177">
        <f>IF(OR(C12=0,C12=1),C12,"out of range")</f>
        <v>1</v>
      </c>
      <c r="C30" s="177">
        <f t="shared" si="1"/>
        <v>0.31585669999999999</v>
      </c>
      <c r="D30" s="177">
        <f t="shared" si="1"/>
        <v>0.29175240000000002</v>
      </c>
      <c r="E30" s="177">
        <f t="shared" si="1"/>
        <v>0.22590930000000001</v>
      </c>
      <c r="F30" s="177">
        <f t="shared" si="1"/>
        <v>0.20611579999999999</v>
      </c>
      <c r="G30" s="177">
        <f t="shared" si="1"/>
        <v>0.35434749999999998</v>
      </c>
      <c r="H30" s="177">
        <f t="shared" si="1"/>
        <v>0.30382959999999998</v>
      </c>
      <c r="I30" s="177">
        <f t="shared" si="1"/>
        <v>0.2023093</v>
      </c>
      <c r="J30" s="177">
        <f t="shared" si="1"/>
        <v>0.16161819999999999</v>
      </c>
      <c r="K30" s="177">
        <f t="shared" si="1"/>
        <v>0.2493831</v>
      </c>
      <c r="L30" s="177">
        <f t="shared" si="1"/>
        <v>0.23615900000000001</v>
      </c>
    </row>
    <row r="31" spans="1:12" x14ac:dyDescent="0.25">
      <c r="A31" s="33" t="s">
        <v>3128</v>
      </c>
      <c r="B31" s="177">
        <f>IF(OR(C13=0,C13=1),C13,"out of range")</f>
        <v>0</v>
      </c>
      <c r="C31" s="177">
        <f t="shared" si="1"/>
        <v>0</v>
      </c>
      <c r="D31" s="177">
        <f t="shared" si="1"/>
        <v>0</v>
      </c>
      <c r="E31" s="177">
        <f t="shared" si="1"/>
        <v>0</v>
      </c>
      <c r="F31" s="177">
        <f t="shared" si="1"/>
        <v>0</v>
      </c>
      <c r="G31" s="177">
        <f t="shared" si="1"/>
        <v>0</v>
      </c>
      <c r="H31" s="177">
        <f t="shared" si="1"/>
        <v>0</v>
      </c>
      <c r="I31" s="177">
        <f t="shared" si="1"/>
        <v>0</v>
      </c>
      <c r="J31" s="177">
        <f t="shared" si="1"/>
        <v>0</v>
      </c>
      <c r="K31" s="177">
        <f t="shared" si="1"/>
        <v>0</v>
      </c>
      <c r="L31" s="177">
        <f t="shared" si="1"/>
        <v>0</v>
      </c>
    </row>
    <row r="32" spans="1:12" x14ac:dyDescent="0.25">
      <c r="A32" s="33" t="s">
        <v>3129</v>
      </c>
      <c r="B32" s="177">
        <f>B23*B30</f>
        <v>1.5</v>
      </c>
      <c r="C32" s="177">
        <f t="shared" si="1"/>
        <v>-0.1031628</v>
      </c>
      <c r="D32" s="177">
        <f t="shared" si="1"/>
        <v>-7.2393299999999994E-2</v>
      </c>
      <c r="E32" s="177">
        <f t="shared" si="1"/>
        <v>-6.5646750000000004E-2</v>
      </c>
      <c r="F32" s="177">
        <f t="shared" si="1"/>
        <v>-5.0243850000000007E-2</v>
      </c>
      <c r="G32" s="177">
        <f t="shared" si="1"/>
        <v>-0.15032085000000001</v>
      </c>
      <c r="H32" s="177">
        <f t="shared" si="1"/>
        <v>-7.7254799999999998E-2</v>
      </c>
      <c r="I32" s="177">
        <f t="shared" si="1"/>
        <v>-0.14306864999999999</v>
      </c>
      <c r="J32" s="177">
        <f t="shared" si="1"/>
        <v>-8.8696500000000011E-2</v>
      </c>
      <c r="K32" s="177">
        <f t="shared" si="1"/>
        <v>-1.7184600000000001E-2</v>
      </c>
      <c r="L32" s="177">
        <f t="shared" si="1"/>
        <v>1.4381700000000001E-2</v>
      </c>
    </row>
    <row r="33" spans="1:12" x14ac:dyDescent="0.25">
      <c r="A33" s="33" t="s">
        <v>3130</v>
      </c>
      <c r="B33" s="177">
        <f>B20*B31</f>
        <v>0</v>
      </c>
      <c r="C33" s="177">
        <f t="shared" si="1"/>
        <v>0</v>
      </c>
      <c r="D33" s="177">
        <f t="shared" si="1"/>
        <v>0</v>
      </c>
      <c r="E33" s="177">
        <f t="shared" si="1"/>
        <v>0</v>
      </c>
      <c r="F33" s="177">
        <f t="shared" si="1"/>
        <v>0</v>
      </c>
      <c r="G33" s="177">
        <f t="shared" si="1"/>
        <v>0</v>
      </c>
      <c r="H33" s="177">
        <f t="shared" si="1"/>
        <v>0</v>
      </c>
      <c r="I33" s="177">
        <f t="shared" si="1"/>
        <v>0</v>
      </c>
      <c r="J33" s="177">
        <f t="shared" si="1"/>
        <v>0</v>
      </c>
      <c r="K33" s="177">
        <f t="shared" si="1"/>
        <v>0</v>
      </c>
      <c r="L33" s="177">
        <f t="shared" si="1"/>
        <v>0</v>
      </c>
    </row>
    <row r="34" spans="1:12" x14ac:dyDescent="0.25">
      <c r="A34" s="33" t="s">
        <v>3131</v>
      </c>
      <c r="B34" s="177">
        <f>B19*B20</f>
        <v>-0.2541500000000001</v>
      </c>
      <c r="C34" s="177">
        <f t="shared" si="1"/>
        <v>1.9343839385000006E-2</v>
      </c>
      <c r="D34" s="177">
        <f t="shared" si="1"/>
        <v>1.1779877915000004E-2</v>
      </c>
      <c r="E34" s="177">
        <f t="shared" si="1"/>
        <v>1.2869698530000005E-2</v>
      </c>
      <c r="F34" s="177">
        <f t="shared" si="1"/>
        <v>6.4911434900000028E-3</v>
      </c>
      <c r="G34" s="177">
        <f t="shared" si="1"/>
        <v>0</v>
      </c>
      <c r="H34" s="177">
        <f t="shared" si="1"/>
        <v>0</v>
      </c>
      <c r="I34" s="177">
        <f t="shared" si="1"/>
        <v>1.5443780560000005E-2</v>
      </c>
      <c r="J34" s="177">
        <f t="shared" si="1"/>
        <v>1.2112458605000005E-2</v>
      </c>
      <c r="K34" s="177">
        <f t="shared" si="1"/>
        <v>9.1527039500000039E-3</v>
      </c>
      <c r="L34" s="177">
        <f t="shared" si="1"/>
        <v>-4.8090263000000024E-3</v>
      </c>
    </row>
    <row r="35" spans="1:12" x14ac:dyDescent="0.25">
      <c r="A35" s="33" t="s">
        <v>3132</v>
      </c>
      <c r="B35" s="177">
        <f>B19*B21</f>
        <v>0.22716666666666682</v>
      </c>
      <c r="C35" s="177">
        <f t="shared" ref="C35:L41" si="2">$B35*C66</f>
        <v>6.9846707833333384E-3</v>
      </c>
      <c r="D35" s="177">
        <f t="shared" si="2"/>
        <v>4.6779523000000031E-3</v>
      </c>
      <c r="E35" s="177">
        <f t="shared" si="2"/>
        <v>7.4391404166666711E-3</v>
      </c>
      <c r="F35" s="177">
        <f t="shared" si="2"/>
        <v>5.623238233333337E-3</v>
      </c>
      <c r="G35" s="177">
        <f t="shared" si="2"/>
        <v>0</v>
      </c>
      <c r="H35" s="177">
        <f t="shared" si="2"/>
        <v>0</v>
      </c>
      <c r="I35" s="177">
        <f t="shared" si="2"/>
        <v>1.1034961583333341E-2</v>
      </c>
      <c r="J35" s="177">
        <f t="shared" si="2"/>
        <v>1.1419532033333341E-2</v>
      </c>
      <c r="K35" s="177">
        <f t="shared" si="2"/>
        <v>3.9029277833333357E-3</v>
      </c>
      <c r="L35" s="177">
        <f t="shared" si="2"/>
        <v>-2.1229179333333349E-3</v>
      </c>
    </row>
    <row r="36" spans="1:12" x14ac:dyDescent="0.25">
      <c r="A36" s="33" t="s">
        <v>3096</v>
      </c>
      <c r="B36" s="177">
        <f>B19*B23</f>
        <v>-0.75</v>
      </c>
      <c r="C36" s="177">
        <f t="shared" si="2"/>
        <v>6.7947449999999993E-2</v>
      </c>
      <c r="D36" s="177">
        <f t="shared" si="2"/>
        <v>7.7828774999999989E-2</v>
      </c>
      <c r="E36" s="177">
        <f t="shared" si="2"/>
        <v>7.4733149999999998E-2</v>
      </c>
      <c r="F36" s="177">
        <f t="shared" si="2"/>
        <v>6.8808074999999996E-2</v>
      </c>
      <c r="G36" s="177">
        <f t="shared" si="2"/>
        <v>6.590737499999999E-2</v>
      </c>
      <c r="H36" s="177">
        <f t="shared" si="2"/>
        <v>9.4675724999999988E-2</v>
      </c>
      <c r="I36" s="177">
        <f t="shared" si="2"/>
        <v>6.3127349999999999E-2</v>
      </c>
      <c r="J36" s="177">
        <f t="shared" si="2"/>
        <v>6.2884124999999999E-2</v>
      </c>
      <c r="K36" s="177">
        <f t="shared" si="2"/>
        <v>8.675925000000001E-2</v>
      </c>
      <c r="L36" s="177">
        <f t="shared" si="2"/>
        <v>8.5768200000000003E-2</v>
      </c>
    </row>
    <row r="37" spans="1:12" x14ac:dyDescent="0.25">
      <c r="A37" s="33" t="s">
        <v>3133</v>
      </c>
      <c r="B37" s="177">
        <f>B19*B24</f>
        <v>-0.5</v>
      </c>
      <c r="C37" s="177">
        <f t="shared" si="2"/>
        <v>0.11209284999999999</v>
      </c>
      <c r="D37" s="177">
        <f t="shared" si="2"/>
        <v>8.688485E-2</v>
      </c>
      <c r="E37" s="177">
        <f t="shared" si="2"/>
        <v>9.6216899999999994E-2</v>
      </c>
      <c r="F37" s="177">
        <f t="shared" si="2"/>
        <v>7.4959750000000006E-2</v>
      </c>
      <c r="G37" s="177">
        <f t="shared" si="2"/>
        <v>0.151842</v>
      </c>
      <c r="H37" s="177">
        <f t="shared" si="2"/>
        <v>0.12247570000000001</v>
      </c>
      <c r="I37" s="177">
        <f t="shared" si="2"/>
        <v>9.9348350000000002E-2</v>
      </c>
      <c r="J37" s="177">
        <f t="shared" si="2"/>
        <v>8.1533949999999994E-2</v>
      </c>
      <c r="K37" s="177">
        <f t="shared" si="2"/>
        <v>0.1012908</v>
      </c>
      <c r="L37" s="177">
        <f t="shared" si="2"/>
        <v>7.7990400000000001E-2</v>
      </c>
    </row>
    <row r="38" spans="1:12" x14ac:dyDescent="0.25">
      <c r="A38" s="33" t="s">
        <v>3134</v>
      </c>
      <c r="B38" s="177">
        <f>B19*B25</f>
        <v>0</v>
      </c>
      <c r="C38" s="177">
        <f t="shared" si="2"/>
        <v>0</v>
      </c>
      <c r="D38" s="177">
        <f t="shared" si="2"/>
        <v>0</v>
      </c>
      <c r="E38" s="177">
        <f t="shared" si="2"/>
        <v>0</v>
      </c>
      <c r="F38" s="177">
        <f t="shared" si="2"/>
        <v>0</v>
      </c>
      <c r="G38" s="177">
        <f t="shared" si="2"/>
        <v>0</v>
      </c>
      <c r="H38" s="177">
        <f t="shared" si="2"/>
        <v>0</v>
      </c>
      <c r="I38" s="177">
        <f t="shared" si="2"/>
        <v>0</v>
      </c>
      <c r="J38" s="177">
        <f t="shared" si="2"/>
        <v>0</v>
      </c>
      <c r="K38" s="177">
        <f t="shared" si="2"/>
        <v>0</v>
      </c>
      <c r="L38" s="177">
        <f t="shared" si="2"/>
        <v>0</v>
      </c>
    </row>
    <row r="39" spans="1:12" x14ac:dyDescent="0.25">
      <c r="A39" s="33" t="s">
        <v>3135</v>
      </c>
      <c r="B39" s="177">
        <f>B19*B27</f>
        <v>-0.5</v>
      </c>
      <c r="C39" s="177">
        <f t="shared" si="2"/>
        <v>0</v>
      </c>
      <c r="D39" s="177">
        <f t="shared" si="2"/>
        <v>0</v>
      </c>
      <c r="E39" s="177">
        <f t="shared" si="2"/>
        <v>0</v>
      </c>
      <c r="F39" s="177">
        <f t="shared" si="2"/>
        <v>0</v>
      </c>
      <c r="G39" s="177">
        <f t="shared" si="2"/>
        <v>4.1725E-3</v>
      </c>
      <c r="H39" s="177">
        <f t="shared" si="2"/>
        <v>-4.796E-4</v>
      </c>
      <c r="I39" s="177">
        <f t="shared" si="2"/>
        <v>0</v>
      </c>
      <c r="J39" s="177">
        <f t="shared" si="2"/>
        <v>0</v>
      </c>
      <c r="K39" s="177">
        <f t="shared" si="2"/>
        <v>0</v>
      </c>
      <c r="L39" s="177">
        <f t="shared" si="2"/>
        <v>0</v>
      </c>
    </row>
    <row r="40" spans="1:12" x14ac:dyDescent="0.25">
      <c r="A40" s="33" t="s">
        <v>3136</v>
      </c>
      <c r="B40" s="177">
        <f>B19*B28</f>
        <v>0</v>
      </c>
      <c r="C40" s="177">
        <f t="shared" si="2"/>
        <v>0</v>
      </c>
      <c r="D40" s="177">
        <f t="shared" si="2"/>
        <v>0</v>
      </c>
      <c r="E40" s="177">
        <f t="shared" si="2"/>
        <v>0</v>
      </c>
      <c r="F40" s="177">
        <f t="shared" si="2"/>
        <v>0</v>
      </c>
      <c r="G40" s="177">
        <f t="shared" si="2"/>
        <v>0</v>
      </c>
      <c r="H40" s="177">
        <f t="shared" si="2"/>
        <v>0</v>
      </c>
      <c r="I40" s="177">
        <f t="shared" si="2"/>
        <v>0</v>
      </c>
      <c r="J40" s="177">
        <f t="shared" si="2"/>
        <v>0</v>
      </c>
      <c r="K40" s="177">
        <f t="shared" si="2"/>
        <v>0</v>
      </c>
      <c r="L40" s="177">
        <f t="shared" si="2"/>
        <v>0</v>
      </c>
    </row>
    <row r="41" spans="1:12" x14ac:dyDescent="0.25">
      <c r="A41" s="33" t="s">
        <v>3102</v>
      </c>
      <c r="B41" s="177">
        <f>IF(AND(C14&gt;=3,C14&lt;=15),(C14-5.3)*B24,"out of range")</f>
        <v>2.2000000000000002</v>
      </c>
      <c r="C41" s="177">
        <f>$B41*C72</f>
        <v>0.29443656000000001</v>
      </c>
      <c r="D41" s="177">
        <f t="shared" si="2"/>
        <v>0.28949800000000003</v>
      </c>
      <c r="E41" s="177">
        <f t="shared" si="2"/>
        <v>0.29459210000000002</v>
      </c>
      <c r="F41" s="177">
        <f t="shared" si="2"/>
        <v>0.25457542000000005</v>
      </c>
      <c r="G41" s="177">
        <f t="shared" si="2"/>
        <v>0.40841724000000007</v>
      </c>
      <c r="H41" s="177">
        <f t="shared" si="2"/>
        <v>0.36362854000000006</v>
      </c>
      <c r="I41" s="177">
        <f t="shared" si="2"/>
        <v>0.40320258000000003</v>
      </c>
      <c r="J41" s="177">
        <f t="shared" si="2"/>
        <v>0.27523408000000005</v>
      </c>
      <c r="K41" s="177">
        <f t="shared" si="2"/>
        <v>0.20453290000000002</v>
      </c>
      <c r="L41" s="177">
        <f t="shared" si="2"/>
        <v>0.23672506000000001</v>
      </c>
    </row>
    <row r="42" spans="1:12" x14ac:dyDescent="0.25">
      <c r="A42" s="33" t="s">
        <v>3103</v>
      </c>
      <c r="B42" s="177">
        <f>IF(AND(C14&gt;=3,C14&lt;=15),(C14-5.3)*(1-B24),"out of range")</f>
        <v>0</v>
      </c>
      <c r="C42" s="177">
        <f t="shared" ref="C42:L42" si="3">$B42*C73</f>
        <v>0</v>
      </c>
      <c r="D42" s="177">
        <f t="shared" si="3"/>
        <v>0</v>
      </c>
      <c r="E42" s="177">
        <f t="shared" si="3"/>
        <v>0</v>
      </c>
      <c r="F42" s="177">
        <f t="shared" si="3"/>
        <v>0</v>
      </c>
      <c r="G42" s="177">
        <f t="shared" si="3"/>
        <v>0</v>
      </c>
      <c r="H42" s="177">
        <f t="shared" si="3"/>
        <v>0</v>
      </c>
      <c r="I42" s="177">
        <f t="shared" si="3"/>
        <v>0</v>
      </c>
      <c r="J42" s="177">
        <f t="shared" si="3"/>
        <v>0</v>
      </c>
      <c r="K42" s="177">
        <f t="shared" si="3"/>
        <v>0</v>
      </c>
      <c r="L42" s="177">
        <f t="shared" si="3"/>
        <v>0</v>
      </c>
    </row>
    <row r="43" spans="1:12" x14ac:dyDescent="0.25">
      <c r="A43" s="33" t="s">
        <v>2395</v>
      </c>
      <c r="B43" s="177">
        <v>1</v>
      </c>
      <c r="C43" s="177">
        <f t="shared" ref="C43:L43" si="4">$B43*C75</f>
        <v>-3.306162</v>
      </c>
      <c r="D43" s="177">
        <f t="shared" si="4"/>
        <v>-3.0409009999999999</v>
      </c>
      <c r="E43" s="177">
        <f t="shared" si="4"/>
        <v>-3.838746</v>
      </c>
      <c r="F43" s="177">
        <f t="shared" si="4"/>
        <v>-3.5183499999999999</v>
      </c>
      <c r="G43" s="177">
        <f t="shared" si="4"/>
        <v>-4.2882249999999997</v>
      </c>
      <c r="H43" s="177">
        <f t="shared" si="4"/>
        <v>-3.961954</v>
      </c>
      <c r="I43" s="177">
        <f t="shared" si="4"/>
        <v>-4.6674569999999997</v>
      </c>
      <c r="J43" s="177">
        <f t="shared" si="4"/>
        <v>-4.2196540000000002</v>
      </c>
      <c r="K43" s="177">
        <f t="shared" si="4"/>
        <v>-4.3964480000000004</v>
      </c>
      <c r="L43" s="177">
        <f t="shared" si="4"/>
        <v>-4.1793459999999998</v>
      </c>
    </row>
    <row r="44" spans="1:12" ht="14.45" customHeight="1" x14ac:dyDescent="0.25">
      <c r="A44" s="65" t="s">
        <v>3098</v>
      </c>
      <c r="B44" s="240" t="s">
        <v>3097</v>
      </c>
      <c r="C44" s="177">
        <f>SUM(C19:C43)</f>
        <v>-1.8500497985583333</v>
      </c>
      <c r="D44" s="177">
        <f t="shared" ref="D44:L44" si="5">SUM(D19:D43)</f>
        <v>-1.6954601150949997</v>
      </c>
      <c r="E44" s="177">
        <f t="shared" si="5"/>
        <v>-2.3957410481199997</v>
      </c>
      <c r="F44" s="177">
        <f t="shared" si="5"/>
        <v>-2.2695008330666662</v>
      </c>
      <c r="G44" s="177">
        <f t="shared" si="5"/>
        <v>-2.434669435</v>
      </c>
      <c r="H44" s="177">
        <f t="shared" si="5"/>
        <v>-2.1832415849999998</v>
      </c>
      <c r="I44" s="177">
        <f t="shared" si="5"/>
        <v>-3.1502083817333331</v>
      </c>
      <c r="J44" s="177">
        <f t="shared" si="5"/>
        <v>-2.9147584015650003</v>
      </c>
      <c r="K44" s="177">
        <f t="shared" si="5"/>
        <v>-3.038823456666667</v>
      </c>
      <c r="L44" s="177">
        <f t="shared" si="5"/>
        <v>-3.0165323071533328</v>
      </c>
    </row>
    <row r="45" spans="1:12" x14ac:dyDescent="0.25">
      <c r="A45" s="183" t="s">
        <v>3099</v>
      </c>
      <c r="B45" s="240"/>
      <c r="C45" s="184">
        <f>EXP(C44)/(1+EXP(C44))</f>
        <v>0.13586705019403117</v>
      </c>
      <c r="D45" s="184">
        <f t="shared" ref="D45:L45" si="6">EXP(D44)/(1+EXP(D44))</f>
        <v>0.15505913071254415</v>
      </c>
      <c r="E45" s="184">
        <f t="shared" si="6"/>
        <v>8.3498039938832785E-2</v>
      </c>
      <c r="F45" s="184">
        <f t="shared" si="6"/>
        <v>9.3680585178157597E-2</v>
      </c>
      <c r="G45" s="184">
        <f t="shared" si="6"/>
        <v>8.0566896612877525E-2</v>
      </c>
      <c r="H45" s="184">
        <f t="shared" si="6"/>
        <v>0.10126552703216025</v>
      </c>
      <c r="I45" s="184">
        <f t="shared" si="6"/>
        <v>4.1083068164957402E-2</v>
      </c>
      <c r="J45" s="184">
        <f t="shared" si="6"/>
        <v>5.1428806051975667E-2</v>
      </c>
      <c r="K45" s="184">
        <f t="shared" si="6"/>
        <v>4.5702456823803861E-2</v>
      </c>
      <c r="L45" s="184">
        <f t="shared" si="6"/>
        <v>4.6684562205801083E-2</v>
      </c>
    </row>
    <row r="46" spans="1:12" x14ac:dyDescent="0.25">
      <c r="A46" s="183"/>
      <c r="B46" s="182"/>
      <c r="C46" s="184"/>
      <c r="D46" s="184"/>
      <c r="E46" s="184"/>
      <c r="F46" s="184"/>
      <c r="G46" s="184"/>
      <c r="H46" s="184"/>
      <c r="I46" s="184"/>
      <c r="J46" s="184"/>
      <c r="K46" s="184"/>
      <c r="L46" s="184"/>
    </row>
    <row r="47" spans="1:12" x14ac:dyDescent="0.25">
      <c r="A47" s="185" t="s">
        <v>3137</v>
      </c>
      <c r="B47" s="182"/>
      <c r="C47" s="184"/>
      <c r="D47" s="184"/>
      <c r="E47" s="184"/>
      <c r="F47" s="184"/>
      <c r="G47" s="184"/>
      <c r="H47" s="184"/>
      <c r="I47" s="184"/>
      <c r="J47" s="184"/>
      <c r="K47" s="184"/>
      <c r="L47" s="184"/>
    </row>
    <row r="48" spans="1:12" x14ac:dyDescent="0.25">
      <c r="A48" s="236" t="s">
        <v>3138</v>
      </c>
      <c r="C48" s="192" t="s">
        <v>35</v>
      </c>
      <c r="D48" s="192"/>
      <c r="E48" s="192" t="s">
        <v>36</v>
      </c>
      <c r="F48" s="192"/>
      <c r="G48" s="192" t="s">
        <v>327</v>
      </c>
      <c r="H48" s="192"/>
      <c r="I48" s="192" t="s">
        <v>328</v>
      </c>
      <c r="J48" s="192"/>
      <c r="K48" s="192" t="s">
        <v>39</v>
      </c>
      <c r="L48" s="192"/>
    </row>
    <row r="49" spans="1:12" x14ac:dyDescent="0.25">
      <c r="A49" s="236"/>
      <c r="B49" s="65"/>
      <c r="C49" s="124" t="s">
        <v>330</v>
      </c>
      <c r="D49" s="124" t="s">
        <v>331</v>
      </c>
      <c r="E49" s="124" t="s">
        <v>330</v>
      </c>
      <c r="F49" s="124" t="s">
        <v>331</v>
      </c>
      <c r="G49" s="124" t="s">
        <v>330</v>
      </c>
      <c r="H49" s="124" t="s">
        <v>331</v>
      </c>
      <c r="I49" s="124" t="s">
        <v>330</v>
      </c>
      <c r="J49" s="124" t="s">
        <v>331</v>
      </c>
      <c r="K49" s="124" t="s">
        <v>330</v>
      </c>
      <c r="L49" s="124" t="s">
        <v>331</v>
      </c>
    </row>
    <row r="50" spans="1:12" x14ac:dyDescent="0.25">
      <c r="A50" s="65" t="s">
        <v>3081</v>
      </c>
      <c r="C50" s="44">
        <v>0.78581780000000001</v>
      </c>
      <c r="D50" s="44">
        <v>0.76991770000000004</v>
      </c>
      <c r="E50" s="44">
        <v>0.71118309999999996</v>
      </c>
      <c r="F50" s="44">
        <v>0.7064146</v>
      </c>
      <c r="G50" s="44">
        <v>0.89973910000000001</v>
      </c>
      <c r="H50" s="44">
        <v>0.91178700000000001</v>
      </c>
      <c r="I50" s="44">
        <v>0.75594150000000004</v>
      </c>
      <c r="J50" s="44">
        <v>0.72236420000000001</v>
      </c>
      <c r="K50" s="44">
        <v>0.68549570000000004</v>
      </c>
      <c r="L50" s="44">
        <v>0.72444679999999995</v>
      </c>
    </row>
    <row r="51" spans="1:12" x14ac:dyDescent="0.25">
      <c r="A51" s="65" t="s">
        <v>332</v>
      </c>
      <c r="C51" s="44">
        <v>1.9443800000000001E-2</v>
      </c>
      <c r="D51" s="44">
        <v>6.0509300000000002E-2</v>
      </c>
      <c r="E51" s="44">
        <v>0.106797</v>
      </c>
      <c r="F51" s="44">
        <v>0.15322669999999999</v>
      </c>
      <c r="G51" s="44"/>
      <c r="H51" s="44"/>
      <c r="I51" s="44">
        <v>0.16639329999999999</v>
      </c>
      <c r="J51" s="44">
        <v>0.2443591</v>
      </c>
      <c r="K51" s="44">
        <v>4.3261000000000001E-2</v>
      </c>
      <c r="L51" s="44">
        <v>1.3428600000000001E-2</v>
      </c>
    </row>
    <row r="52" spans="1:12" x14ac:dyDescent="0.25">
      <c r="A52" s="65" t="s">
        <v>341</v>
      </c>
      <c r="C52" s="44">
        <v>-0.15219640000000001</v>
      </c>
      <c r="D52" s="44">
        <v>-8.8852500000000001E-2</v>
      </c>
      <c r="E52" s="44">
        <v>-0.14257449999999999</v>
      </c>
      <c r="F52" s="44">
        <v>-0.1082166</v>
      </c>
      <c r="G52" s="44"/>
      <c r="H52" s="44"/>
      <c r="I52" s="44">
        <v>-0.19050039999999999</v>
      </c>
      <c r="J52" s="44">
        <v>-0.1755236</v>
      </c>
      <c r="K52" s="44">
        <v>-9.8379300000000003E-2</v>
      </c>
      <c r="L52" s="44">
        <v>-2.0435700000000001E-2</v>
      </c>
    </row>
    <row r="53" spans="1:12" x14ac:dyDescent="0.25">
      <c r="A53" s="65" t="s">
        <v>350</v>
      </c>
      <c r="C53" s="44">
        <v>-0.22966809999999999</v>
      </c>
      <c r="D53" s="44">
        <v>-0.417713</v>
      </c>
      <c r="E53" s="44">
        <v>-7.3682399999999995E-2</v>
      </c>
      <c r="F53" s="44">
        <v>-0.26752880000000001</v>
      </c>
      <c r="G53" s="44">
        <v>-0.44227490000000003</v>
      </c>
      <c r="H53" s="44">
        <v>-0.65680709999999998</v>
      </c>
      <c r="I53" s="44">
        <v>-7.68509E-2</v>
      </c>
      <c r="J53" s="44">
        <v>-0.30257450000000002</v>
      </c>
      <c r="K53" s="44">
        <v>-0.1017197</v>
      </c>
      <c r="L53" s="44">
        <v>-0.25069629999999998</v>
      </c>
    </row>
    <row r="54" spans="1:12" x14ac:dyDescent="0.25">
      <c r="A54" s="65" t="s">
        <v>361</v>
      </c>
      <c r="C54" s="44">
        <v>0.34657769999999999</v>
      </c>
      <c r="D54" s="44">
        <v>0.32886569999999998</v>
      </c>
      <c r="E54" s="44">
        <v>0.34808440000000002</v>
      </c>
      <c r="F54" s="44">
        <v>0.31738090000000002</v>
      </c>
      <c r="G54" s="44">
        <v>0.33786909999999998</v>
      </c>
      <c r="H54" s="44">
        <v>0.35246450000000001</v>
      </c>
      <c r="I54" s="44">
        <v>0.33964699999999998</v>
      </c>
      <c r="J54" s="44">
        <v>0.30568919999999999</v>
      </c>
      <c r="K54" s="44">
        <v>0.35659550000000001</v>
      </c>
      <c r="L54" s="44">
        <v>0.3408562</v>
      </c>
    </row>
    <row r="55" spans="1:12" x14ac:dyDescent="0.25">
      <c r="A55" s="65" t="s">
        <v>372</v>
      </c>
      <c r="C55" s="44">
        <v>0.53662410000000005</v>
      </c>
      <c r="D55" s="44">
        <v>0.47594710000000001</v>
      </c>
      <c r="E55" s="44">
        <v>0.5112951</v>
      </c>
      <c r="F55" s="44">
        <v>0.43260399999999999</v>
      </c>
      <c r="G55" s="44">
        <v>0.681284</v>
      </c>
      <c r="H55" s="44">
        <v>0.58497520000000003</v>
      </c>
      <c r="I55" s="44">
        <v>0.56322280000000002</v>
      </c>
      <c r="J55" s="44">
        <v>0.48748409999999998</v>
      </c>
      <c r="K55" s="44">
        <v>0.46095550000000002</v>
      </c>
      <c r="L55" s="44">
        <v>0.35354999999999998</v>
      </c>
    </row>
    <row r="56" spans="1:12" ht="14.45" customHeight="1" x14ac:dyDescent="0.25">
      <c r="A56" s="65" t="s">
        <v>383</v>
      </c>
      <c r="C56" s="44">
        <v>0.54116819999999999</v>
      </c>
      <c r="D56" s="44">
        <v>0.43856630000000002</v>
      </c>
      <c r="E56" s="44">
        <v>0.4880292</v>
      </c>
      <c r="F56" s="44">
        <v>0.39588420000000002</v>
      </c>
      <c r="G56" s="44">
        <v>0.58860049999999997</v>
      </c>
      <c r="H56" s="44">
        <v>0.5014014</v>
      </c>
      <c r="I56" s="44">
        <v>0.54779999999999995</v>
      </c>
      <c r="J56" s="44">
        <v>0.39424559999999997</v>
      </c>
      <c r="K56" s="44">
        <v>0.41983009999999998</v>
      </c>
      <c r="L56" s="44">
        <v>0.38549040000000001</v>
      </c>
    </row>
    <row r="57" spans="1:12" ht="14.45" customHeight="1" x14ac:dyDescent="0.25">
      <c r="A57" s="65" t="s">
        <v>393</v>
      </c>
      <c r="C57" s="44"/>
      <c r="D57" s="44"/>
      <c r="E57" s="44"/>
      <c r="F57" s="44"/>
      <c r="G57" s="44">
        <v>-1.4865700000000001E-2</v>
      </c>
      <c r="H57" s="44">
        <v>-5.1235200000000002E-2</v>
      </c>
      <c r="I57" s="44"/>
      <c r="J57" s="44"/>
      <c r="K57" s="44"/>
      <c r="L57" s="44"/>
    </row>
    <row r="58" spans="1:12" ht="14.45" customHeight="1" x14ac:dyDescent="0.25">
      <c r="A58" s="65" t="s">
        <v>396</v>
      </c>
      <c r="C58" s="44"/>
      <c r="D58" s="44"/>
      <c r="E58" s="44"/>
      <c r="F58" s="44"/>
      <c r="G58" s="44">
        <v>0.29583739999999997</v>
      </c>
      <c r="H58" s="44">
        <v>0.36529400000000001</v>
      </c>
      <c r="I58" s="44"/>
      <c r="J58" s="44"/>
      <c r="K58" s="44"/>
      <c r="L58" s="44"/>
    </row>
    <row r="59" spans="1:12" ht="14.45" customHeight="1" x14ac:dyDescent="0.25">
      <c r="A59" s="65" t="s">
        <v>399</v>
      </c>
      <c r="C59" s="44">
        <v>0.59318979999999999</v>
      </c>
      <c r="D59" s="44">
        <v>0.53346159999999998</v>
      </c>
      <c r="E59" s="44">
        <v>0.47549970000000003</v>
      </c>
      <c r="F59" s="44">
        <v>0.36650139999999998</v>
      </c>
      <c r="G59" s="44">
        <v>0.73446999999999996</v>
      </c>
      <c r="H59" s="44">
        <v>0.68922190000000005</v>
      </c>
      <c r="I59" s="44">
        <v>0.51050850000000003</v>
      </c>
      <c r="J59" s="44">
        <v>0.37480079999999999</v>
      </c>
      <c r="K59" s="44">
        <v>0.44365179999999999</v>
      </c>
      <c r="L59" s="44">
        <v>0.38697870000000001</v>
      </c>
    </row>
    <row r="60" spans="1:12" x14ac:dyDescent="0.25">
      <c r="A60" s="65" t="s">
        <v>410</v>
      </c>
      <c r="C60" s="44">
        <v>4.7245799999999998E-2</v>
      </c>
      <c r="D60" s="44">
        <v>2.0643100000000001E-2</v>
      </c>
      <c r="E60" s="44">
        <v>4.3813199999999997E-2</v>
      </c>
      <c r="F60" s="44">
        <v>2.5024299999999999E-2</v>
      </c>
      <c r="G60" s="44">
        <v>5.926E-2</v>
      </c>
      <c r="H60" s="44">
        <v>2.9237699999999998E-2</v>
      </c>
      <c r="I60" s="44">
        <v>3.8134399999999999E-2</v>
      </c>
      <c r="J60" s="44">
        <v>2.5040699999999999E-2</v>
      </c>
      <c r="K60" s="44">
        <v>5.4498900000000003E-2</v>
      </c>
      <c r="L60" s="44">
        <v>2.3766300000000001E-2</v>
      </c>
    </row>
    <row r="61" spans="1:12" x14ac:dyDescent="0.25">
      <c r="A61" s="65" t="s">
        <v>420</v>
      </c>
      <c r="C61" s="44">
        <v>0.31585669999999999</v>
      </c>
      <c r="D61" s="44">
        <v>0.29175240000000002</v>
      </c>
      <c r="E61" s="44">
        <v>0.22590930000000001</v>
      </c>
      <c r="F61" s="44">
        <v>0.20611579999999999</v>
      </c>
      <c r="G61" s="44">
        <v>0.35434749999999998</v>
      </c>
      <c r="H61" s="44">
        <v>0.30382959999999998</v>
      </c>
      <c r="I61" s="44">
        <v>0.2023093</v>
      </c>
      <c r="J61" s="44">
        <v>0.16161819999999999</v>
      </c>
      <c r="K61" s="44">
        <v>0.2493831</v>
      </c>
      <c r="L61" s="44">
        <v>0.23615900000000001</v>
      </c>
    </row>
    <row r="62" spans="1:12" ht="14.45" customHeight="1" x14ac:dyDescent="0.25">
      <c r="A62" s="65" t="s">
        <v>431</v>
      </c>
      <c r="C62" s="44">
        <v>-0.1535174</v>
      </c>
      <c r="D62" s="44">
        <v>-0.13833129999999999</v>
      </c>
      <c r="E62" s="44">
        <v>-6.4887200000000006E-2</v>
      </c>
      <c r="F62" s="44">
        <v>-8.9998800000000004E-2</v>
      </c>
      <c r="G62" s="44"/>
      <c r="H62" s="44"/>
      <c r="I62" s="44">
        <v>-4.2592699999999997E-2</v>
      </c>
      <c r="J62" s="44">
        <v>-5.1373299999999997E-2</v>
      </c>
      <c r="K62" s="44">
        <v>-8.5977499999999998E-2</v>
      </c>
      <c r="L62" s="44">
        <v>-0.12419760000000001</v>
      </c>
    </row>
    <row r="63" spans="1:12" ht="14.45" customHeight="1" x14ac:dyDescent="0.25">
      <c r="A63" s="65" t="s">
        <v>440</v>
      </c>
      <c r="C63" s="44">
        <v>-6.8775199999999995E-2</v>
      </c>
      <c r="D63" s="44">
        <v>-4.8262199999999998E-2</v>
      </c>
      <c r="E63" s="44">
        <v>-4.3764499999999998E-2</v>
      </c>
      <c r="F63" s="44">
        <v>-3.3495900000000002E-2</v>
      </c>
      <c r="G63" s="44">
        <v>-0.10021389999999999</v>
      </c>
      <c r="H63" s="44">
        <v>-5.1503199999999999E-2</v>
      </c>
      <c r="I63" s="44">
        <v>-9.5379099999999994E-2</v>
      </c>
      <c r="J63" s="44">
        <v>-5.9131000000000003E-2</v>
      </c>
      <c r="K63" s="44">
        <v>-1.14564E-2</v>
      </c>
      <c r="L63" s="44">
        <v>9.5878000000000005E-3</v>
      </c>
    </row>
    <row r="64" spans="1:12" x14ac:dyDescent="0.25">
      <c r="A64" s="65" t="s">
        <v>451</v>
      </c>
      <c r="C64" s="44">
        <v>0.1054746</v>
      </c>
      <c r="D64" s="44">
        <v>0.13937959999999999</v>
      </c>
      <c r="E64" s="44">
        <v>6.9708199999999998E-2</v>
      </c>
      <c r="F64" s="44">
        <v>0.1034168</v>
      </c>
      <c r="G64" s="44"/>
      <c r="H64" s="44"/>
      <c r="I64" s="44">
        <v>5.8737200000000003E-2</v>
      </c>
      <c r="J64" s="44">
        <v>7.1090899999999999E-2</v>
      </c>
      <c r="K64" s="44">
        <v>6.8907899999999994E-2</v>
      </c>
      <c r="L64" s="44">
        <v>0.1424174</v>
      </c>
    </row>
    <row r="65" spans="1:14" x14ac:dyDescent="0.25">
      <c r="A65" s="65" t="s">
        <v>460</v>
      </c>
      <c r="C65" s="44">
        <v>-7.6111899999999996E-2</v>
      </c>
      <c r="D65" s="44">
        <v>-4.6350099999999998E-2</v>
      </c>
      <c r="E65" s="44">
        <v>-5.0638200000000001E-2</v>
      </c>
      <c r="F65" s="44">
        <v>-2.55406E-2</v>
      </c>
      <c r="I65" s="44">
        <v>-6.0766399999999998E-2</v>
      </c>
      <c r="J65" s="44">
        <v>-4.7658699999999998E-2</v>
      </c>
      <c r="K65" s="44">
        <v>-3.6013000000000003E-2</v>
      </c>
      <c r="L65" s="44">
        <v>1.8922000000000001E-2</v>
      </c>
    </row>
    <row r="66" spans="1:14" x14ac:dyDescent="0.25">
      <c r="A66" s="65" t="s">
        <v>3079</v>
      </c>
      <c r="C66" s="44">
        <v>3.0746900000000001E-2</v>
      </c>
      <c r="D66" s="44">
        <v>2.0592599999999999E-2</v>
      </c>
      <c r="E66" s="44">
        <v>3.2747499999999999E-2</v>
      </c>
      <c r="F66" s="44">
        <v>2.4753799999999999E-2</v>
      </c>
      <c r="G66" s="44"/>
      <c r="H66" s="44"/>
      <c r="I66" s="44">
        <v>4.8576500000000002E-2</v>
      </c>
      <c r="J66" s="44">
        <v>5.0269399999999999E-2</v>
      </c>
      <c r="K66" s="44">
        <v>1.7180899999999999E-2</v>
      </c>
      <c r="L66" s="44">
        <v>-9.3451999999999997E-3</v>
      </c>
    </row>
    <row r="67" spans="1:14" x14ac:dyDescent="0.25">
      <c r="A67" s="65" t="s">
        <v>475</v>
      </c>
      <c r="C67" s="44">
        <v>-9.0596599999999999E-2</v>
      </c>
      <c r="D67" s="44">
        <v>-0.10377169999999999</v>
      </c>
      <c r="E67" s="44">
        <v>-9.9644200000000002E-2</v>
      </c>
      <c r="F67" s="44">
        <v>-9.1744099999999995E-2</v>
      </c>
      <c r="G67" s="44">
        <v>-8.7876499999999996E-2</v>
      </c>
      <c r="H67" s="44">
        <v>-0.12623429999999999</v>
      </c>
      <c r="I67" s="44">
        <v>-8.4169800000000003E-2</v>
      </c>
      <c r="J67" s="44">
        <v>-8.3845500000000003E-2</v>
      </c>
      <c r="K67" s="44">
        <v>-0.115679</v>
      </c>
      <c r="L67" s="44">
        <v>-0.1143576</v>
      </c>
    </row>
    <row r="68" spans="1:14" x14ac:dyDescent="0.25">
      <c r="A68" s="65" t="s">
        <v>481</v>
      </c>
      <c r="C68" s="44">
        <v>-0.22418569999999999</v>
      </c>
      <c r="D68" s="44">
        <v>-0.1737697</v>
      </c>
      <c r="E68" s="44">
        <v>-0.19243379999999999</v>
      </c>
      <c r="F68" s="44">
        <v>-0.14991950000000001</v>
      </c>
      <c r="G68" s="44">
        <v>-0.30368400000000001</v>
      </c>
      <c r="H68" s="44">
        <v>-0.24495140000000001</v>
      </c>
      <c r="I68" s="44">
        <v>-0.1986967</v>
      </c>
      <c r="J68" s="44">
        <v>-0.16306789999999999</v>
      </c>
      <c r="K68" s="44">
        <v>-0.2025816</v>
      </c>
      <c r="L68" s="44">
        <v>-0.1559808</v>
      </c>
    </row>
    <row r="69" spans="1:14" x14ac:dyDescent="0.25">
      <c r="A69" s="65" t="s">
        <v>492</v>
      </c>
      <c r="C69" s="44">
        <v>-8.0185999999999993E-2</v>
      </c>
      <c r="D69" s="44">
        <v>-9.1583899999999996E-2</v>
      </c>
      <c r="E69" s="44">
        <v>-8.0353900000000006E-2</v>
      </c>
      <c r="F69" s="44">
        <v>-9.8088999999999996E-2</v>
      </c>
      <c r="G69" s="44">
        <v>-0.11789429999999999</v>
      </c>
      <c r="H69" s="44">
        <v>-0.1392217</v>
      </c>
      <c r="I69" s="44">
        <v>-8.0706899999999998E-2</v>
      </c>
      <c r="J69" s="44">
        <v>-0.1220691</v>
      </c>
      <c r="K69" s="44">
        <v>-0.1003882</v>
      </c>
      <c r="L69" s="44">
        <v>-8.2419400000000004E-2</v>
      </c>
    </row>
    <row r="70" spans="1:14" x14ac:dyDescent="0.25">
      <c r="A70" s="65" t="s">
        <v>501</v>
      </c>
      <c r="E70" s="44"/>
      <c r="F70" s="44"/>
      <c r="G70" s="44">
        <v>-8.345E-3</v>
      </c>
      <c r="H70" s="44">
        <v>9.592E-4</v>
      </c>
      <c r="I70" s="44"/>
      <c r="J70" s="44"/>
      <c r="K70" s="44"/>
      <c r="L70" s="44"/>
    </row>
    <row r="71" spans="1:14" x14ac:dyDescent="0.25">
      <c r="A71" s="65" t="s">
        <v>504</v>
      </c>
      <c r="C71" s="44">
        <v>-0.1667286</v>
      </c>
      <c r="D71" s="44">
        <v>-0.16370390000000001</v>
      </c>
      <c r="E71" s="44">
        <v>-0.16825860000000001</v>
      </c>
      <c r="F71" s="44">
        <v>-0.1305231</v>
      </c>
      <c r="G71" s="44">
        <v>-0.19121830000000001</v>
      </c>
      <c r="H71" s="44">
        <v>-0.19171050000000001</v>
      </c>
      <c r="I71" s="44">
        <v>-0.16109129999999999</v>
      </c>
      <c r="J71" s="44">
        <v>-8.5950499999999999E-2</v>
      </c>
      <c r="K71" s="44">
        <v>-0.1760082</v>
      </c>
      <c r="L71" s="44">
        <v>-0.18909039999999999</v>
      </c>
    </row>
    <row r="72" spans="1:14" x14ac:dyDescent="0.25">
      <c r="A72" s="19" t="s">
        <v>649</v>
      </c>
      <c r="C72" s="44">
        <v>0.1338348</v>
      </c>
      <c r="D72" s="44">
        <v>0.13159000000000001</v>
      </c>
      <c r="E72" s="44">
        <v>0.13390550000000001</v>
      </c>
      <c r="F72" s="44">
        <v>0.1157161</v>
      </c>
      <c r="G72" s="44">
        <v>0.18564420000000001</v>
      </c>
      <c r="H72" s="44">
        <v>0.16528570000000001</v>
      </c>
      <c r="I72" s="44">
        <v>0.18327389999999999</v>
      </c>
      <c r="J72" s="44">
        <v>0.12510640000000001</v>
      </c>
      <c r="K72" s="44">
        <v>9.2969499999999997E-2</v>
      </c>
      <c r="L72" s="44">
        <v>0.1076023</v>
      </c>
    </row>
    <row r="73" spans="1:14" x14ac:dyDescent="0.25">
      <c r="A73" s="19" t="s">
        <v>659</v>
      </c>
      <c r="C73" s="44">
        <v>0.16224089999999999</v>
      </c>
      <c r="D73" s="44">
        <v>0.12951850000000001</v>
      </c>
      <c r="E73" s="44">
        <v>0.15964610000000001</v>
      </c>
      <c r="F73" s="44">
        <v>0.12883030000000001</v>
      </c>
      <c r="G73" s="44">
        <v>0.18330830000000001</v>
      </c>
      <c r="H73" s="44">
        <v>0.15058589999999999</v>
      </c>
      <c r="I73" s="44">
        <v>0.17554649999999999</v>
      </c>
      <c r="J73" s="44">
        <v>0.1177006</v>
      </c>
      <c r="K73" s="44">
        <v>0.15450539999999999</v>
      </c>
      <c r="L73" s="44">
        <v>0.1408596</v>
      </c>
    </row>
    <row r="74" spans="1:14" x14ac:dyDescent="0.25">
      <c r="A74" s="19" t="s">
        <v>670</v>
      </c>
      <c r="C74" s="44">
        <v>-1.4249599999999999E-2</v>
      </c>
      <c r="D74" s="44">
        <v>-1.2837299999999999E-2</v>
      </c>
      <c r="E74" s="44">
        <v>1.5678000000000001E-3</v>
      </c>
      <c r="F74" s="44">
        <v>-1.0001000000000001E-3</v>
      </c>
      <c r="G74" s="44">
        <v>-1.43112E-2</v>
      </c>
      <c r="H74" s="44">
        <v>-1.1344399999999999E-2</v>
      </c>
      <c r="I74" s="44">
        <v>2.68381E-2</v>
      </c>
      <c r="J74" s="44">
        <v>2.8543800000000001E-2</v>
      </c>
      <c r="K74" s="44">
        <v>-2.5509E-2</v>
      </c>
      <c r="L74" s="44">
        <v>-4.7094299999999999E-2</v>
      </c>
    </row>
    <row r="75" spans="1:14" x14ac:dyDescent="0.25">
      <c r="A75" s="65" t="s">
        <v>2395</v>
      </c>
      <c r="C75" s="44">
        <v>-3.306162</v>
      </c>
      <c r="D75" s="44">
        <v>-3.0409009999999999</v>
      </c>
      <c r="E75" s="44">
        <v>-3.838746</v>
      </c>
      <c r="F75" s="44">
        <v>-3.5183499999999999</v>
      </c>
      <c r="G75" s="44">
        <v>-4.2882249999999997</v>
      </c>
      <c r="H75" s="44">
        <v>-3.961954</v>
      </c>
      <c r="I75" s="44">
        <v>-4.6674569999999997</v>
      </c>
      <c r="J75" s="44">
        <v>-4.2196540000000002</v>
      </c>
      <c r="K75" s="44">
        <v>-4.3964480000000004</v>
      </c>
      <c r="L75" s="44">
        <v>-4.1793459999999998</v>
      </c>
    </row>
    <row r="76" spans="1:14" ht="58.35" customHeight="1" x14ac:dyDescent="0.25">
      <c r="A76" s="239" t="s">
        <v>3139</v>
      </c>
      <c r="B76" s="239"/>
      <c r="C76" s="239"/>
      <c r="D76" s="239"/>
      <c r="E76" s="239"/>
      <c r="F76" s="239"/>
      <c r="G76" s="239"/>
      <c r="H76" s="239"/>
      <c r="I76" s="239"/>
      <c r="J76" s="239"/>
      <c r="K76" s="239"/>
      <c r="L76" s="239"/>
      <c r="M76" s="186"/>
      <c r="N76" s="186"/>
    </row>
    <row r="77" spans="1:14" x14ac:dyDescent="0.25">
      <c r="A77" s="33" t="s">
        <v>3140</v>
      </c>
      <c r="B77" s="65"/>
      <c r="C77" s="44">
        <v>0.99960000000000004</v>
      </c>
      <c r="D77" s="118">
        <v>0.999</v>
      </c>
      <c r="E77" s="44">
        <v>0.99950000000000006</v>
      </c>
      <c r="F77" s="44">
        <v>0.99870000000000003</v>
      </c>
      <c r="G77" s="44">
        <v>0.99960000000000004</v>
      </c>
      <c r="H77" s="44">
        <v>0.99929999999999997</v>
      </c>
      <c r="I77" s="44">
        <v>0.99950000000000006</v>
      </c>
      <c r="J77" s="44">
        <v>0.99860000000000004</v>
      </c>
      <c r="K77" s="44">
        <v>0.99939999999999996</v>
      </c>
      <c r="L77" s="44">
        <v>0.99860000000000004</v>
      </c>
    </row>
    <row r="78" spans="1:14" x14ac:dyDescent="0.25">
      <c r="E78" s="44"/>
      <c r="F78" s="118"/>
      <c r="G78" s="44"/>
      <c r="H78" s="44"/>
      <c r="I78" s="44"/>
      <c r="J78" s="44"/>
      <c r="K78" s="44"/>
      <c r="L78" s="44"/>
      <c r="M78" s="44"/>
      <c r="N78" s="44"/>
    </row>
    <row r="79" spans="1:14" x14ac:dyDescent="0.25">
      <c r="A79" s="65" t="s">
        <v>3169</v>
      </c>
      <c r="B79" s="65"/>
      <c r="C79" s="65"/>
      <c r="D79" s="65"/>
      <c r="E79" s="44"/>
      <c r="F79" s="118"/>
      <c r="G79" s="44"/>
      <c r="H79" s="44"/>
      <c r="I79" s="44"/>
      <c r="J79" s="44"/>
      <c r="K79" s="44"/>
      <c r="L79" s="44"/>
      <c r="M79" s="44"/>
      <c r="N79" s="44"/>
    </row>
    <row r="80" spans="1:14" x14ac:dyDescent="0.25">
      <c r="A80" s="65" t="s">
        <v>2397</v>
      </c>
      <c r="B80" s="65"/>
      <c r="C80" s="44">
        <v>1.0313000000000001</v>
      </c>
      <c r="D80" s="44">
        <v>1.0263</v>
      </c>
      <c r="E80" s="44">
        <v>1.0397000000000001</v>
      </c>
      <c r="F80" s="118">
        <v>1.0343</v>
      </c>
      <c r="G80" s="44">
        <v>1.0176000000000001</v>
      </c>
      <c r="H80" s="44">
        <v>1.0216000000000001</v>
      </c>
      <c r="I80" s="44">
        <v>1.0445</v>
      </c>
      <c r="J80" s="44">
        <v>1.0793999999999999</v>
      </c>
      <c r="K80" s="44">
        <v>1.0306</v>
      </c>
      <c r="L80" s="118">
        <v>1.0229999999999999</v>
      </c>
    </row>
    <row r="81" spans="1:12" x14ac:dyDescent="0.25">
      <c r="A81" s="65" t="s">
        <v>2396</v>
      </c>
      <c r="B81" s="65"/>
      <c r="C81" s="118">
        <v>0.9889</v>
      </c>
      <c r="D81" s="118">
        <v>0.99660000000000004</v>
      </c>
      <c r="E81" s="118">
        <v>0.99509999999999998</v>
      </c>
      <c r="F81" s="118">
        <v>0.99609999999999999</v>
      </c>
      <c r="G81" s="118">
        <v>0.97709999999999997</v>
      </c>
      <c r="H81" s="118">
        <v>0.99480000000000002</v>
      </c>
      <c r="I81" s="118">
        <v>0.99360000000000004</v>
      </c>
      <c r="J81" s="118">
        <v>0.99670000000000003</v>
      </c>
      <c r="K81" s="118">
        <v>0.99409999999999998</v>
      </c>
      <c r="L81" s="118">
        <v>0.99519999999999997</v>
      </c>
    </row>
  </sheetData>
  <mergeCells count="21">
    <mergeCell ref="E3:N3"/>
    <mergeCell ref="E4:F4"/>
    <mergeCell ref="G4:H4"/>
    <mergeCell ref="I4:J4"/>
    <mergeCell ref="K4:L4"/>
    <mergeCell ref="M4:N4"/>
    <mergeCell ref="A76:L76"/>
    <mergeCell ref="K17:L17"/>
    <mergeCell ref="B44:B45"/>
    <mergeCell ref="A48:A49"/>
    <mergeCell ref="C48:D48"/>
    <mergeCell ref="E48:F48"/>
    <mergeCell ref="G48:H48"/>
    <mergeCell ref="I48:J48"/>
    <mergeCell ref="K48:L48"/>
    <mergeCell ref="A17:A18"/>
    <mergeCell ref="B17:B18"/>
    <mergeCell ref="C17:D17"/>
    <mergeCell ref="E17:F17"/>
    <mergeCell ref="G17:H17"/>
    <mergeCell ref="I17:J17"/>
  </mergeCells>
  <pageMargins left="0.25" right="0.25" top="0.75" bottom="0.75" header="0.3" footer="0.3"/>
  <pageSetup scale="88" orientation="landscape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67F76-A5B2-44A4-9812-E8F11CC322CA}">
  <sheetPr>
    <pageSetUpPr fitToPage="1"/>
  </sheetPr>
  <dimension ref="A1:N81"/>
  <sheetViews>
    <sheetView topLeftCell="A52" workbookViewId="0">
      <selection activeCell="A79" sqref="A79"/>
    </sheetView>
  </sheetViews>
  <sheetFormatPr defaultColWidth="8.85546875" defaultRowHeight="15" x14ac:dyDescent="0.25"/>
  <cols>
    <col min="1" max="1" width="48.42578125" style="33" customWidth="1"/>
    <col min="2" max="2" width="23.85546875" style="33" customWidth="1"/>
    <col min="3" max="3" width="11.5703125" style="33" customWidth="1"/>
    <col min="4" max="12" width="11.42578125" style="33" customWidth="1"/>
    <col min="13" max="14" width="11.140625" style="33" customWidth="1"/>
    <col min="15" max="16384" width="8.85546875" style="33"/>
  </cols>
  <sheetData>
    <row r="1" spans="1:14" x14ac:dyDescent="0.25">
      <c r="A1" s="65" t="s">
        <v>3148</v>
      </c>
      <c r="B1" s="65"/>
      <c r="C1" s="65"/>
      <c r="D1" s="65"/>
    </row>
    <row r="2" spans="1:14" ht="15.75" thickBot="1" x14ac:dyDescent="0.3">
      <c r="A2" s="65"/>
      <c r="B2" s="65"/>
      <c r="C2" s="65"/>
      <c r="D2" s="65"/>
    </row>
    <row r="3" spans="1:14" x14ac:dyDescent="0.25">
      <c r="A3" s="166" t="s">
        <v>3108</v>
      </c>
      <c r="B3" s="167" t="s">
        <v>3082</v>
      </c>
      <c r="C3" s="168" t="s">
        <v>3107</v>
      </c>
      <c r="D3" s="65"/>
      <c r="E3" s="241" t="s">
        <v>3111</v>
      </c>
      <c r="F3" s="242"/>
      <c r="G3" s="242"/>
      <c r="H3" s="242"/>
      <c r="I3" s="242"/>
      <c r="J3" s="242"/>
      <c r="K3" s="242"/>
      <c r="L3" s="242"/>
      <c r="M3" s="242"/>
      <c r="N3" s="243"/>
    </row>
    <row r="4" spans="1:14" x14ac:dyDescent="0.25">
      <c r="A4" s="169" t="s">
        <v>3112</v>
      </c>
      <c r="B4" s="33" t="s">
        <v>3083</v>
      </c>
      <c r="C4" s="170">
        <v>50</v>
      </c>
      <c r="D4" s="65"/>
      <c r="E4" s="244" t="s">
        <v>35</v>
      </c>
      <c r="F4" s="192"/>
      <c r="G4" s="192" t="s">
        <v>36</v>
      </c>
      <c r="H4" s="192"/>
      <c r="I4" s="192" t="s">
        <v>327</v>
      </c>
      <c r="J4" s="192"/>
      <c r="K4" s="192" t="s">
        <v>328</v>
      </c>
      <c r="L4" s="192"/>
      <c r="M4" s="192" t="s">
        <v>39</v>
      </c>
      <c r="N4" s="245"/>
    </row>
    <row r="5" spans="1:14" x14ac:dyDescent="0.25">
      <c r="A5" s="169" t="s">
        <v>3113</v>
      </c>
      <c r="B5" s="33" t="s">
        <v>3084</v>
      </c>
      <c r="C5" s="170">
        <v>200</v>
      </c>
      <c r="D5" s="65"/>
      <c r="E5" s="171" t="s">
        <v>330</v>
      </c>
      <c r="F5" s="124" t="s">
        <v>331</v>
      </c>
      <c r="G5" s="124" t="s">
        <v>330</v>
      </c>
      <c r="H5" s="124" t="s">
        <v>331</v>
      </c>
      <c r="I5" s="124" t="s">
        <v>330</v>
      </c>
      <c r="J5" s="124" t="s">
        <v>331</v>
      </c>
      <c r="K5" s="124" t="s">
        <v>330</v>
      </c>
      <c r="L5" s="124" t="s">
        <v>331</v>
      </c>
      <c r="M5" s="124" t="s">
        <v>330</v>
      </c>
      <c r="N5" s="172" t="s">
        <v>331</v>
      </c>
    </row>
    <row r="6" spans="1:14" ht="15.75" thickBot="1" x14ac:dyDescent="0.3">
      <c r="A6" s="169" t="s">
        <v>3114</v>
      </c>
      <c r="B6" s="33" t="s">
        <v>3085</v>
      </c>
      <c r="C6" s="170">
        <v>45</v>
      </c>
      <c r="D6" s="65"/>
      <c r="E6" s="173">
        <f t="shared" ref="E6:N6" si="0">C45</f>
        <v>0.1565456427896422</v>
      </c>
      <c r="F6" s="174">
        <f t="shared" si="0"/>
        <v>0.18234221797505024</v>
      </c>
      <c r="G6" s="174">
        <f t="shared" si="0"/>
        <v>0.10034803473666953</v>
      </c>
      <c r="H6" s="174">
        <f t="shared" si="0"/>
        <v>0.11373705460993858</v>
      </c>
      <c r="I6" s="174">
        <f t="shared" si="0"/>
        <v>8.8627509031656476E-2</v>
      </c>
      <c r="J6" s="174">
        <f t="shared" si="0"/>
        <v>0.12257323285777438</v>
      </c>
      <c r="K6" s="174">
        <f t="shared" si="0"/>
        <v>4.8158891937446387E-2</v>
      </c>
      <c r="L6" s="174">
        <f t="shared" si="0"/>
        <v>6.2448879095301488E-2</v>
      </c>
      <c r="M6" s="174">
        <f t="shared" si="0"/>
        <v>5.8436324320371096E-2</v>
      </c>
      <c r="N6" s="175">
        <f t="shared" si="0"/>
        <v>5.9475415120951225E-2</v>
      </c>
    </row>
    <row r="7" spans="1:14" x14ac:dyDescent="0.25">
      <c r="A7" s="176" t="s">
        <v>3115</v>
      </c>
      <c r="B7" s="156" t="s">
        <v>3086</v>
      </c>
      <c r="C7" s="170">
        <v>160</v>
      </c>
      <c r="D7" s="65"/>
      <c r="E7" s="33" t="s">
        <v>3159</v>
      </c>
    </row>
    <row r="8" spans="1:14" x14ac:dyDescent="0.25">
      <c r="A8" s="169" t="s">
        <v>3087</v>
      </c>
      <c r="B8" s="177" t="s">
        <v>3088</v>
      </c>
      <c r="C8" s="170">
        <v>1</v>
      </c>
      <c r="D8" s="65"/>
    </row>
    <row r="9" spans="1:14" x14ac:dyDescent="0.25">
      <c r="A9" s="169" t="s">
        <v>3116</v>
      </c>
      <c r="B9" s="177" t="s">
        <v>3088</v>
      </c>
      <c r="C9" s="170">
        <v>0</v>
      </c>
      <c r="D9" s="65"/>
    </row>
    <row r="10" spans="1:14" ht="14.45" customHeight="1" x14ac:dyDescent="0.25">
      <c r="A10" s="178" t="s">
        <v>3117</v>
      </c>
      <c r="B10" s="156" t="s">
        <v>3118</v>
      </c>
      <c r="C10" s="170">
        <v>35</v>
      </c>
      <c r="D10" s="65"/>
      <c r="E10" s="118"/>
      <c r="F10" s="118"/>
      <c r="G10" s="118"/>
      <c r="H10" s="118"/>
      <c r="I10" s="118"/>
      <c r="J10" s="118"/>
      <c r="K10" s="118"/>
      <c r="L10" s="118"/>
      <c r="M10" s="118"/>
      <c r="N10" s="118"/>
    </row>
    <row r="11" spans="1:14" ht="14.45" customHeight="1" x14ac:dyDescent="0.25">
      <c r="A11" s="176" t="s">
        <v>3119</v>
      </c>
      <c r="B11" s="156" t="s">
        <v>3120</v>
      </c>
      <c r="C11" s="170">
        <v>90</v>
      </c>
      <c r="D11" s="65"/>
      <c r="E11" s="118"/>
      <c r="F11" s="118"/>
      <c r="G11" s="118"/>
      <c r="H11" s="118"/>
      <c r="I11" s="118"/>
      <c r="J11" s="118"/>
      <c r="K11" s="118"/>
      <c r="L11" s="118"/>
      <c r="M11" s="118"/>
      <c r="N11" s="118"/>
    </row>
    <row r="12" spans="1:14" x14ac:dyDescent="0.25">
      <c r="A12" s="169" t="s">
        <v>3121</v>
      </c>
      <c r="B12" s="177" t="s">
        <v>3088</v>
      </c>
      <c r="C12" s="170">
        <v>1</v>
      </c>
      <c r="D12" s="65"/>
      <c r="E12" s="118"/>
      <c r="F12" s="118"/>
      <c r="G12" s="118"/>
      <c r="H12" s="118"/>
      <c r="I12" s="118"/>
      <c r="J12" s="118"/>
      <c r="K12" s="118"/>
      <c r="L12" s="118"/>
      <c r="M12" s="118"/>
      <c r="N12" s="118"/>
    </row>
    <row r="13" spans="1:14" x14ac:dyDescent="0.25">
      <c r="A13" s="169" t="s">
        <v>3089</v>
      </c>
      <c r="B13" s="177" t="s">
        <v>3088</v>
      </c>
      <c r="C13" s="170">
        <v>0</v>
      </c>
      <c r="D13" s="65"/>
      <c r="E13" s="118"/>
      <c r="F13" s="118"/>
      <c r="G13" s="118"/>
      <c r="H13" s="118"/>
      <c r="I13" s="118"/>
      <c r="J13" s="118"/>
      <c r="K13" s="118"/>
      <c r="L13" s="118"/>
      <c r="M13" s="118"/>
      <c r="N13" s="118"/>
    </row>
    <row r="14" spans="1:14" ht="15.75" thickBot="1" x14ac:dyDescent="0.3">
      <c r="A14" s="179" t="s">
        <v>3149</v>
      </c>
      <c r="B14" s="188" t="s">
        <v>3104</v>
      </c>
      <c r="C14" s="181">
        <v>8</v>
      </c>
      <c r="D14" s="65"/>
      <c r="E14" s="118"/>
      <c r="F14" s="118"/>
      <c r="G14" s="118"/>
      <c r="H14" s="118"/>
      <c r="I14" s="118"/>
      <c r="J14" s="118"/>
      <c r="K14" s="118"/>
      <c r="L14" s="118"/>
      <c r="M14" s="118"/>
      <c r="N14" s="118"/>
    </row>
    <row r="15" spans="1:14" x14ac:dyDescent="0.25">
      <c r="A15" s="65"/>
      <c r="B15" s="65"/>
      <c r="C15" s="65"/>
      <c r="D15" s="65"/>
      <c r="E15" s="118"/>
      <c r="F15" s="118"/>
      <c r="G15" s="118"/>
      <c r="H15" s="118"/>
      <c r="I15" s="118"/>
      <c r="J15" s="118"/>
      <c r="K15" s="118"/>
      <c r="L15" s="118"/>
      <c r="M15" s="118"/>
      <c r="N15" s="118"/>
    </row>
    <row r="16" spans="1:14" x14ac:dyDescent="0.25">
      <c r="A16" s="65" t="s">
        <v>3122</v>
      </c>
      <c r="B16" s="65"/>
      <c r="C16" s="65"/>
      <c r="D16" s="65"/>
      <c r="E16" s="118"/>
      <c r="F16" s="118"/>
      <c r="G16" s="118"/>
      <c r="H16" s="118"/>
      <c r="I16" s="118"/>
      <c r="J16" s="118"/>
      <c r="K16" s="118"/>
      <c r="L16" s="118"/>
      <c r="M16" s="118"/>
      <c r="N16" s="118"/>
    </row>
    <row r="17" spans="1:12" ht="15" customHeight="1" x14ac:dyDescent="0.25">
      <c r="A17" s="236" t="s">
        <v>3168</v>
      </c>
      <c r="B17" s="236" t="s">
        <v>3109</v>
      </c>
      <c r="C17" s="192" t="s">
        <v>35</v>
      </c>
      <c r="D17" s="192"/>
      <c r="E17" s="192" t="s">
        <v>36</v>
      </c>
      <c r="F17" s="192"/>
      <c r="G17" s="192" t="s">
        <v>327</v>
      </c>
      <c r="H17" s="192"/>
      <c r="I17" s="192" t="s">
        <v>328</v>
      </c>
      <c r="J17" s="192"/>
      <c r="K17" s="192" t="s">
        <v>39</v>
      </c>
      <c r="L17" s="192"/>
    </row>
    <row r="18" spans="1:12" x14ac:dyDescent="0.25">
      <c r="A18" s="236"/>
      <c r="B18" s="236"/>
      <c r="C18" s="124" t="s">
        <v>330</v>
      </c>
      <c r="D18" s="124" t="s">
        <v>331</v>
      </c>
      <c r="E18" s="124" t="s">
        <v>330</v>
      </c>
      <c r="F18" s="124" t="s">
        <v>331</v>
      </c>
      <c r="G18" s="124" t="s">
        <v>330</v>
      </c>
      <c r="H18" s="124" t="s">
        <v>331</v>
      </c>
      <c r="I18" s="124" t="s">
        <v>330</v>
      </c>
      <c r="J18" s="124" t="s">
        <v>331</v>
      </c>
      <c r="K18" s="124" t="s">
        <v>330</v>
      </c>
      <c r="L18" s="124" t="s">
        <v>331</v>
      </c>
    </row>
    <row r="19" spans="1:12" x14ac:dyDescent="0.25">
      <c r="A19" s="33" t="s">
        <v>3123</v>
      </c>
      <c r="B19" s="177">
        <f>IF(AND(C4&gt;=30,C4&lt;80),(C4-55)/10, "out of range")</f>
        <v>-0.5</v>
      </c>
      <c r="C19" s="177">
        <f t="shared" ref="C19:L34" si="1">$B19*C50</f>
        <v>-0.38770415000000003</v>
      </c>
      <c r="D19" s="177">
        <f t="shared" si="1"/>
        <v>-0.38781884999999999</v>
      </c>
      <c r="E19" s="177">
        <f t="shared" si="1"/>
        <v>-0.35140614999999997</v>
      </c>
      <c r="F19" s="177">
        <f t="shared" si="1"/>
        <v>-0.35750435000000003</v>
      </c>
      <c r="G19" s="177">
        <f t="shared" si="1"/>
        <v>-0.44095780000000001</v>
      </c>
      <c r="H19" s="177">
        <f t="shared" si="1"/>
        <v>-0.44708949999999997</v>
      </c>
      <c r="I19" s="177">
        <f t="shared" si="1"/>
        <v>-0.37915064999999998</v>
      </c>
      <c r="J19" s="177">
        <f t="shared" si="1"/>
        <v>-0.36869465000000001</v>
      </c>
      <c r="K19" s="177">
        <f t="shared" si="1"/>
        <v>-0.34419084999999999</v>
      </c>
      <c r="L19" s="177">
        <f t="shared" si="1"/>
        <v>-0.3581896</v>
      </c>
    </row>
    <row r="20" spans="1:12" x14ac:dyDescent="0.25">
      <c r="A20" s="33" t="s">
        <v>3124</v>
      </c>
      <c r="B20" s="177">
        <f>IF(AND(C5&gt;=130,C5&lt;=320,C6&gt;=20,C6&lt;=100),(C5-C6)*0.02586-3.5,"out of range")</f>
        <v>0.5083000000000002</v>
      </c>
      <c r="C20" s="177">
        <f t="shared" si="1"/>
        <v>1.1271857480000005E-2</v>
      </c>
      <c r="D20" s="177">
        <f t="shared" si="1"/>
        <v>3.6359969750000012E-2</v>
      </c>
      <c r="E20" s="177">
        <f t="shared" si="1"/>
        <v>5.368044474000002E-2</v>
      </c>
      <c r="F20" s="177">
        <f t="shared" si="1"/>
        <v>8.2717641370000025E-2</v>
      </c>
      <c r="G20" s="177">
        <f t="shared" si="1"/>
        <v>0</v>
      </c>
      <c r="H20" s="177">
        <f t="shared" si="1"/>
        <v>0</v>
      </c>
      <c r="I20" s="177">
        <f t="shared" si="1"/>
        <v>8.1807936860000041E-2</v>
      </c>
      <c r="J20" s="177">
        <f t="shared" si="1"/>
        <v>0.13060173789000004</v>
      </c>
      <c r="K20" s="177">
        <f t="shared" si="1"/>
        <v>2.3824783450000012E-2</v>
      </c>
      <c r="L20" s="177">
        <f t="shared" si="1"/>
        <v>8.506451330000003E-3</v>
      </c>
    </row>
    <row r="21" spans="1:12" x14ac:dyDescent="0.25">
      <c r="A21" s="33" t="s">
        <v>3125</v>
      </c>
      <c r="B21" s="177">
        <f>IF(AND(C6&gt;=20,C6&lt;=100),(C6*0.02586-1.3)/0.3,"out of range")</f>
        <v>-0.45433333333333364</v>
      </c>
      <c r="C21" s="177">
        <f t="shared" si="1"/>
        <v>7.5002618800000045E-2</v>
      </c>
      <c r="D21" s="177">
        <f t="shared" si="1"/>
        <v>4.4378144166666696E-2</v>
      </c>
      <c r="E21" s="177">
        <f t="shared" si="1"/>
        <v>6.825281563333338E-2</v>
      </c>
      <c r="F21" s="177">
        <f t="shared" si="1"/>
        <v>5.4292288133333373E-2</v>
      </c>
      <c r="G21" s="177">
        <f t="shared" si="1"/>
        <v>0</v>
      </c>
      <c r="H21" s="177">
        <f t="shared" si="1"/>
        <v>0</v>
      </c>
      <c r="I21" s="177">
        <f t="shared" si="1"/>
        <v>9.4474300500000066E-2</v>
      </c>
      <c r="J21" s="177">
        <f t="shared" si="1"/>
        <v>8.6325196100000057E-2</v>
      </c>
      <c r="K21" s="177">
        <f t="shared" si="1"/>
        <v>4.7008370700000031E-2</v>
      </c>
      <c r="L21" s="177">
        <f t="shared" si="1"/>
        <v>1.2041605233333343E-2</v>
      </c>
    </row>
    <row r="22" spans="1:12" x14ac:dyDescent="0.25">
      <c r="A22" s="33" t="s">
        <v>3090</v>
      </c>
      <c r="B22" s="177">
        <f>IF(AND(C7&gt;=90,C7&lt;=200),(MIN(C7,110)-110)/20,"out of range")</f>
        <v>0</v>
      </c>
      <c r="C22" s="177">
        <f t="shared" si="1"/>
        <v>0</v>
      </c>
      <c r="D22" s="177">
        <f t="shared" si="1"/>
        <v>0</v>
      </c>
      <c r="E22" s="177">
        <f t="shared" si="1"/>
        <v>0</v>
      </c>
      <c r="F22" s="177">
        <f t="shared" si="1"/>
        <v>0</v>
      </c>
      <c r="G22" s="177">
        <f t="shared" si="1"/>
        <v>0</v>
      </c>
      <c r="H22" s="177">
        <f t="shared" si="1"/>
        <v>0</v>
      </c>
      <c r="I22" s="177">
        <f t="shared" si="1"/>
        <v>0</v>
      </c>
      <c r="J22" s="177">
        <f t="shared" si="1"/>
        <v>0</v>
      </c>
      <c r="K22" s="177">
        <f t="shared" si="1"/>
        <v>0</v>
      </c>
      <c r="L22" s="177">
        <f t="shared" si="1"/>
        <v>0</v>
      </c>
    </row>
    <row r="23" spans="1:12" x14ac:dyDescent="0.25">
      <c r="A23" s="33" t="s">
        <v>3091</v>
      </c>
      <c r="B23" s="177">
        <f>IF(AND(C7&gt;=90,C7&lt;=200),(MAX(C7,110)-130)/20,"out of range")</f>
        <v>1.5</v>
      </c>
      <c r="C23" s="177">
        <f t="shared" si="1"/>
        <v>0.50717820000000002</v>
      </c>
      <c r="D23" s="177">
        <f t="shared" si="1"/>
        <v>0.48534794999999997</v>
      </c>
      <c r="E23" s="177">
        <f t="shared" si="1"/>
        <v>0.51040215</v>
      </c>
      <c r="F23" s="177">
        <f t="shared" si="1"/>
        <v>0.4769214</v>
      </c>
      <c r="G23" s="177">
        <f t="shared" si="1"/>
        <v>0.51861075000000001</v>
      </c>
      <c r="H23" s="177">
        <f t="shared" si="1"/>
        <v>0.52536150000000004</v>
      </c>
      <c r="I23" s="177">
        <f t="shared" si="1"/>
        <v>0.51409590000000005</v>
      </c>
      <c r="J23" s="177">
        <f t="shared" si="1"/>
        <v>0.46369215000000003</v>
      </c>
      <c r="K23" s="177">
        <f t="shared" si="1"/>
        <v>0.52071075</v>
      </c>
      <c r="L23" s="177">
        <f t="shared" si="1"/>
        <v>0.51010575000000002</v>
      </c>
    </row>
    <row r="24" spans="1:12" x14ac:dyDescent="0.25">
      <c r="A24" s="33" t="s">
        <v>372</v>
      </c>
      <c r="B24" s="177">
        <f>IF(OR(C8=0,C8=1),C8,"out of range")</f>
        <v>1</v>
      </c>
      <c r="C24" s="177">
        <f t="shared" si="1"/>
        <v>0.86243720000000001</v>
      </c>
      <c r="D24" s="177">
        <f t="shared" si="1"/>
        <v>0.77224959999999998</v>
      </c>
      <c r="E24" s="177">
        <f t="shared" si="1"/>
        <v>0.83802200000000004</v>
      </c>
      <c r="F24" s="177">
        <f t="shared" si="1"/>
        <v>0.71564220000000001</v>
      </c>
      <c r="G24" s="177">
        <f t="shared" si="1"/>
        <v>1.0263199999999999</v>
      </c>
      <c r="H24" s="177">
        <f t="shared" si="1"/>
        <v>0.92524530000000005</v>
      </c>
      <c r="I24" s="177">
        <f t="shared" si="1"/>
        <v>0.89843910000000005</v>
      </c>
      <c r="J24" s="177">
        <f t="shared" si="1"/>
        <v>0.76192400000000005</v>
      </c>
      <c r="K24" s="177">
        <f t="shared" si="1"/>
        <v>0.80692609999999998</v>
      </c>
      <c r="L24" s="177">
        <f t="shared" si="1"/>
        <v>0.65779770000000004</v>
      </c>
    </row>
    <row r="25" spans="1:12" x14ac:dyDescent="0.25">
      <c r="A25" s="33" t="s">
        <v>3126</v>
      </c>
      <c r="B25" s="177">
        <f>IF(OR(C9=0,C9=1),C9,"out of range")</f>
        <v>0</v>
      </c>
      <c r="C25" s="177">
        <f t="shared" si="1"/>
        <v>0</v>
      </c>
      <c r="D25" s="177">
        <f t="shared" si="1"/>
        <v>0</v>
      </c>
      <c r="E25" s="177">
        <f t="shared" si="1"/>
        <v>0</v>
      </c>
      <c r="F25" s="177">
        <f t="shared" si="1"/>
        <v>0</v>
      </c>
      <c r="G25" s="177">
        <f t="shared" si="1"/>
        <v>0</v>
      </c>
      <c r="H25" s="177">
        <f t="shared" si="1"/>
        <v>0</v>
      </c>
      <c r="I25" s="177">
        <f t="shared" si="1"/>
        <v>0</v>
      </c>
      <c r="J25" s="177">
        <f t="shared" si="1"/>
        <v>0</v>
      </c>
      <c r="K25" s="177">
        <f t="shared" si="1"/>
        <v>0</v>
      </c>
      <c r="L25" s="177">
        <f t="shared" si="1"/>
        <v>0</v>
      </c>
    </row>
    <row r="26" spans="1:12" x14ac:dyDescent="0.25">
      <c r="A26" s="33" t="s">
        <v>3092</v>
      </c>
      <c r="B26" s="177">
        <f>IF(AND(C10&gt;=18.5,C10&lt;40),(MIN(C10,30)-25)/5,"out of range")</f>
        <v>1</v>
      </c>
      <c r="C26" s="177">
        <f t="shared" si="1"/>
        <v>0</v>
      </c>
      <c r="D26" s="177">
        <f t="shared" si="1"/>
        <v>0</v>
      </c>
      <c r="E26" s="177">
        <f t="shared" si="1"/>
        <v>0</v>
      </c>
      <c r="F26" s="177">
        <f t="shared" si="1"/>
        <v>0</v>
      </c>
      <c r="G26" s="177">
        <f t="shared" si="1"/>
        <v>-1.6844700000000001E-2</v>
      </c>
      <c r="H26" s="177">
        <f t="shared" si="1"/>
        <v>-8.6629700000000004E-2</v>
      </c>
      <c r="I26" s="177">
        <f t="shared" si="1"/>
        <v>0</v>
      </c>
      <c r="J26" s="177">
        <f t="shared" si="1"/>
        <v>0</v>
      </c>
      <c r="K26" s="177">
        <f t="shared" si="1"/>
        <v>0</v>
      </c>
      <c r="L26" s="177">
        <f t="shared" si="1"/>
        <v>0</v>
      </c>
    </row>
    <row r="27" spans="1:12" x14ac:dyDescent="0.25">
      <c r="A27" s="33" t="s">
        <v>3093</v>
      </c>
      <c r="B27" s="177">
        <f>IF(AND(C10&gt;=18.5,C10&lt;40),(MAX(C10,30)-30)/5,"out of range")</f>
        <v>1</v>
      </c>
      <c r="C27" s="177">
        <f t="shared" si="1"/>
        <v>0</v>
      </c>
      <c r="D27" s="177">
        <f t="shared" si="1"/>
        <v>0</v>
      </c>
      <c r="E27" s="177">
        <f t="shared" si="1"/>
        <v>0</v>
      </c>
      <c r="F27" s="177">
        <f t="shared" si="1"/>
        <v>0</v>
      </c>
      <c r="G27" s="177">
        <f t="shared" si="1"/>
        <v>0.2805126</v>
      </c>
      <c r="H27" s="177">
        <f t="shared" si="1"/>
        <v>0.37067650000000002</v>
      </c>
      <c r="I27" s="177">
        <f t="shared" si="1"/>
        <v>0</v>
      </c>
      <c r="J27" s="177">
        <f t="shared" si="1"/>
        <v>0</v>
      </c>
      <c r="K27" s="177">
        <f t="shared" si="1"/>
        <v>0</v>
      </c>
      <c r="L27" s="177">
        <f t="shared" si="1"/>
        <v>0</v>
      </c>
    </row>
    <row r="28" spans="1:12" x14ac:dyDescent="0.25">
      <c r="A28" s="33" t="s">
        <v>3094</v>
      </c>
      <c r="B28" s="177">
        <f>IF(AND(C11&gt;=15,C11&lt;=150),(MIN(C11,60)-60)/-15,"out of range")</f>
        <v>0</v>
      </c>
      <c r="C28" s="177">
        <f t="shared" si="1"/>
        <v>0</v>
      </c>
      <c r="D28" s="177">
        <f t="shared" si="1"/>
        <v>0</v>
      </c>
      <c r="E28" s="177">
        <f t="shared" si="1"/>
        <v>0</v>
      </c>
      <c r="F28" s="177">
        <f t="shared" si="1"/>
        <v>0</v>
      </c>
      <c r="G28" s="177">
        <f t="shared" si="1"/>
        <v>0</v>
      </c>
      <c r="H28" s="177">
        <f t="shared" si="1"/>
        <v>0</v>
      </c>
      <c r="I28" s="177">
        <f t="shared" si="1"/>
        <v>0</v>
      </c>
      <c r="J28" s="177">
        <f t="shared" si="1"/>
        <v>0</v>
      </c>
      <c r="K28" s="177">
        <f t="shared" si="1"/>
        <v>0</v>
      </c>
      <c r="L28" s="177">
        <f t="shared" si="1"/>
        <v>0</v>
      </c>
    </row>
    <row r="29" spans="1:12" x14ac:dyDescent="0.25">
      <c r="A29" s="33" t="s">
        <v>3095</v>
      </c>
      <c r="B29" s="177">
        <f>IF(AND(C11&gt;=15,C11&lt;=150),(MAX(C11,60)-90)/-15,"out of range")</f>
        <v>0</v>
      </c>
      <c r="C29" s="177">
        <f t="shared" si="1"/>
        <v>0</v>
      </c>
      <c r="D29" s="177">
        <f t="shared" si="1"/>
        <v>0</v>
      </c>
      <c r="E29" s="177">
        <f t="shared" si="1"/>
        <v>0</v>
      </c>
      <c r="F29" s="177">
        <f t="shared" si="1"/>
        <v>0</v>
      </c>
      <c r="G29" s="177">
        <f t="shared" si="1"/>
        <v>0</v>
      </c>
      <c r="H29" s="177">
        <f t="shared" si="1"/>
        <v>0</v>
      </c>
      <c r="I29" s="177">
        <f t="shared" si="1"/>
        <v>0</v>
      </c>
      <c r="J29" s="177">
        <f t="shared" si="1"/>
        <v>0</v>
      </c>
      <c r="K29" s="177">
        <f t="shared" si="1"/>
        <v>0</v>
      </c>
      <c r="L29" s="177">
        <f t="shared" si="1"/>
        <v>0</v>
      </c>
    </row>
    <row r="30" spans="1:12" x14ac:dyDescent="0.25">
      <c r="A30" s="33" t="s">
        <v>3127</v>
      </c>
      <c r="B30" s="177">
        <f>IF(OR(C12=0,C12=1),C12,"out of range")</f>
        <v>1</v>
      </c>
      <c r="C30" s="177">
        <f t="shared" si="1"/>
        <v>0.31821660000000002</v>
      </c>
      <c r="D30" s="177">
        <f t="shared" si="1"/>
        <v>0.26340940000000002</v>
      </c>
      <c r="E30" s="177">
        <f t="shared" si="1"/>
        <v>0.22706480000000001</v>
      </c>
      <c r="F30" s="177">
        <f t="shared" si="1"/>
        <v>0.17862330000000001</v>
      </c>
      <c r="G30" s="177">
        <f t="shared" si="1"/>
        <v>0.34914869999999998</v>
      </c>
      <c r="H30" s="177">
        <f t="shared" si="1"/>
        <v>0.2688352</v>
      </c>
      <c r="I30" s="177">
        <f t="shared" si="1"/>
        <v>0.20894499999999999</v>
      </c>
      <c r="J30" s="177">
        <f t="shared" si="1"/>
        <v>0.1225093</v>
      </c>
      <c r="K30" s="177">
        <f t="shared" si="1"/>
        <v>0.2405852</v>
      </c>
      <c r="L30" s="177">
        <f t="shared" si="1"/>
        <v>0.24978990000000001</v>
      </c>
    </row>
    <row r="31" spans="1:12" x14ac:dyDescent="0.25">
      <c r="A31" s="33" t="s">
        <v>3128</v>
      </c>
      <c r="B31" s="177">
        <f>IF(OR(C13=0,C13=1),C13,"out of range")</f>
        <v>0</v>
      </c>
      <c r="C31" s="177">
        <f t="shared" si="1"/>
        <v>0</v>
      </c>
      <c r="D31" s="177">
        <f t="shared" si="1"/>
        <v>0</v>
      </c>
      <c r="E31" s="177">
        <f t="shared" si="1"/>
        <v>0</v>
      </c>
      <c r="F31" s="177">
        <f t="shared" si="1"/>
        <v>0</v>
      </c>
      <c r="G31" s="177">
        <f t="shared" si="1"/>
        <v>0</v>
      </c>
      <c r="H31" s="177">
        <f t="shared" si="1"/>
        <v>0</v>
      </c>
      <c r="I31" s="177">
        <f t="shared" si="1"/>
        <v>0</v>
      </c>
      <c r="J31" s="177">
        <f t="shared" si="1"/>
        <v>0</v>
      </c>
      <c r="K31" s="177">
        <f t="shared" si="1"/>
        <v>0</v>
      </c>
      <c r="L31" s="177">
        <f t="shared" si="1"/>
        <v>0</v>
      </c>
    </row>
    <row r="32" spans="1:12" x14ac:dyDescent="0.25">
      <c r="A32" s="33" t="s">
        <v>3129</v>
      </c>
      <c r="B32" s="177">
        <f>B23*B30</f>
        <v>1.5</v>
      </c>
      <c r="C32" s="177">
        <f t="shared" si="1"/>
        <v>-8.6168250000000002E-2</v>
      </c>
      <c r="D32" s="177">
        <f t="shared" si="1"/>
        <v>-5.5051950000000002E-2</v>
      </c>
      <c r="E32" s="177">
        <f t="shared" si="1"/>
        <v>-5.2422750000000004E-2</v>
      </c>
      <c r="F32" s="177">
        <f t="shared" si="1"/>
        <v>-4.24695E-2</v>
      </c>
      <c r="G32" s="177">
        <f t="shared" si="1"/>
        <v>-0.13355025000000001</v>
      </c>
      <c r="H32" s="177">
        <f t="shared" si="1"/>
        <v>-6.5233799999999995E-2</v>
      </c>
      <c r="I32" s="177">
        <f t="shared" si="1"/>
        <v>-0.11996910000000001</v>
      </c>
      <c r="J32" s="177">
        <f t="shared" si="1"/>
        <v>-9.212324999999999E-2</v>
      </c>
      <c r="K32" s="177">
        <f t="shared" si="1"/>
        <v>-1.080765E-2</v>
      </c>
      <c r="L32" s="177">
        <f t="shared" si="1"/>
        <v>2.1298649999999999E-2</v>
      </c>
    </row>
    <row r="33" spans="1:12" x14ac:dyDescent="0.25">
      <c r="A33" s="33" t="s">
        <v>3130</v>
      </c>
      <c r="B33" s="177">
        <f>B20*B31</f>
        <v>0</v>
      </c>
      <c r="C33" s="177">
        <f t="shared" si="1"/>
        <v>0</v>
      </c>
      <c r="D33" s="177">
        <f t="shared" si="1"/>
        <v>0</v>
      </c>
      <c r="E33" s="177">
        <f t="shared" si="1"/>
        <v>0</v>
      </c>
      <c r="F33" s="177">
        <f t="shared" si="1"/>
        <v>0</v>
      </c>
      <c r="G33" s="177">
        <f t="shared" si="1"/>
        <v>0</v>
      </c>
      <c r="H33" s="177">
        <f t="shared" si="1"/>
        <v>0</v>
      </c>
      <c r="I33" s="177">
        <f t="shared" si="1"/>
        <v>0</v>
      </c>
      <c r="J33" s="177">
        <f t="shared" si="1"/>
        <v>0</v>
      </c>
      <c r="K33" s="177">
        <f t="shared" si="1"/>
        <v>0</v>
      </c>
      <c r="L33" s="177">
        <f t="shared" si="1"/>
        <v>0</v>
      </c>
    </row>
    <row r="34" spans="1:12" x14ac:dyDescent="0.25">
      <c r="A34" s="33" t="s">
        <v>3131</v>
      </c>
      <c r="B34" s="177">
        <f>B19*B20</f>
        <v>-0.2541500000000001</v>
      </c>
      <c r="C34" s="177">
        <f t="shared" si="1"/>
        <v>2.122381235000001E-2</v>
      </c>
      <c r="D34" s="177">
        <f t="shared" si="1"/>
        <v>1.2902407635000003E-2</v>
      </c>
      <c r="E34" s="177">
        <f t="shared" si="1"/>
        <v>1.5856164350000007E-2</v>
      </c>
      <c r="F34" s="177">
        <f t="shared" si="1"/>
        <v>7.2637594900000031E-3</v>
      </c>
      <c r="G34" s="177">
        <f t="shared" si="1"/>
        <v>0</v>
      </c>
      <c r="H34" s="177">
        <f t="shared" si="1"/>
        <v>0</v>
      </c>
      <c r="I34" s="177">
        <f t="shared" si="1"/>
        <v>1.8592343250000008E-2</v>
      </c>
      <c r="J34" s="177">
        <f t="shared" si="1"/>
        <v>1.3817932180000006E-2</v>
      </c>
      <c r="K34" s="177">
        <f t="shared" si="1"/>
        <v>1.1743864860000003E-2</v>
      </c>
      <c r="L34" s="177">
        <f t="shared" si="1"/>
        <v>-5.5028812150000024E-3</v>
      </c>
    </row>
    <row r="35" spans="1:12" x14ac:dyDescent="0.25">
      <c r="A35" s="33" t="s">
        <v>3132</v>
      </c>
      <c r="B35" s="177">
        <f>B19*B21</f>
        <v>0.22716666666666682</v>
      </c>
      <c r="C35" s="177">
        <f t="shared" ref="C35:L41" si="2">$B35*C66</f>
        <v>6.4102117166666712E-3</v>
      </c>
      <c r="D35" s="177">
        <f t="shared" si="2"/>
        <v>4.0516538000000026E-3</v>
      </c>
      <c r="E35" s="177">
        <f t="shared" si="2"/>
        <v>6.4766579666666714E-3</v>
      </c>
      <c r="F35" s="177">
        <f t="shared" si="2"/>
        <v>5.6189220666666706E-3</v>
      </c>
      <c r="G35" s="177">
        <f t="shared" si="2"/>
        <v>0</v>
      </c>
      <c r="H35" s="177">
        <f t="shared" si="2"/>
        <v>0</v>
      </c>
      <c r="I35" s="177">
        <f t="shared" si="2"/>
        <v>1.0599119616666675E-2</v>
      </c>
      <c r="J35" s="177">
        <f t="shared" si="2"/>
        <v>1.1663986083333341E-2</v>
      </c>
      <c r="K35" s="177">
        <f t="shared" si="2"/>
        <v>3.0708162833333352E-3</v>
      </c>
      <c r="L35" s="177">
        <f t="shared" si="2"/>
        <v>-2.3543780500000014E-3</v>
      </c>
    </row>
    <row r="36" spans="1:12" x14ac:dyDescent="0.25">
      <c r="A36" s="33" t="s">
        <v>3096</v>
      </c>
      <c r="B36" s="177">
        <f>B19*B23</f>
        <v>-0.75</v>
      </c>
      <c r="C36" s="177">
        <f t="shared" si="2"/>
        <v>7.1448524999999999E-2</v>
      </c>
      <c r="D36" s="177">
        <f t="shared" si="2"/>
        <v>7.9450275000000001E-2</v>
      </c>
      <c r="E36" s="177">
        <f t="shared" si="2"/>
        <v>7.7528324999999995E-2</v>
      </c>
      <c r="F36" s="177">
        <f t="shared" si="2"/>
        <v>6.8962049999999997E-2</v>
      </c>
      <c r="G36" s="177">
        <f t="shared" si="2"/>
        <v>7.2827100000000006E-2</v>
      </c>
      <c r="H36" s="177">
        <f t="shared" si="2"/>
        <v>9.7286625000000015E-2</v>
      </c>
      <c r="I36" s="177">
        <f t="shared" si="2"/>
        <v>6.6988574999999995E-2</v>
      </c>
      <c r="J36" s="177">
        <f t="shared" si="2"/>
        <v>6.3224699999999995E-2</v>
      </c>
      <c r="K36" s="177">
        <f t="shared" si="2"/>
        <v>8.8889775000000004E-2</v>
      </c>
      <c r="L36" s="177">
        <f t="shared" si="2"/>
        <v>8.6179050000000007E-2</v>
      </c>
    </row>
    <row r="37" spans="1:12" x14ac:dyDescent="0.25">
      <c r="A37" s="33" t="s">
        <v>3133</v>
      </c>
      <c r="B37" s="177">
        <f>B19*B24</f>
        <v>-0.5</v>
      </c>
      <c r="C37" s="177">
        <f t="shared" si="2"/>
        <v>0.13594829999999999</v>
      </c>
      <c r="D37" s="177">
        <f t="shared" si="2"/>
        <v>0.11183775</v>
      </c>
      <c r="E37" s="177">
        <f t="shared" si="2"/>
        <v>0.12389225</v>
      </c>
      <c r="F37" s="177">
        <f t="shared" si="2"/>
        <v>9.9074549999999997E-2</v>
      </c>
      <c r="G37" s="177">
        <f t="shared" si="2"/>
        <v>0.1764039</v>
      </c>
      <c r="H37" s="177">
        <f t="shared" si="2"/>
        <v>0.14954300000000001</v>
      </c>
      <c r="I37" s="177">
        <f t="shared" si="2"/>
        <v>0.12915845000000001</v>
      </c>
      <c r="J37" s="177">
        <f t="shared" si="2"/>
        <v>0.1061752</v>
      </c>
      <c r="K37" s="177">
        <f t="shared" si="2"/>
        <v>0.12644825000000001</v>
      </c>
      <c r="L37" s="177">
        <f t="shared" si="2"/>
        <v>9.8292699999999997E-2</v>
      </c>
    </row>
    <row r="38" spans="1:12" x14ac:dyDescent="0.25">
      <c r="A38" s="33" t="s">
        <v>3134</v>
      </c>
      <c r="B38" s="177">
        <f>B19*B25</f>
        <v>0</v>
      </c>
      <c r="C38" s="177">
        <f t="shared" si="2"/>
        <v>0</v>
      </c>
      <c r="D38" s="177">
        <f t="shared" si="2"/>
        <v>0</v>
      </c>
      <c r="E38" s="177">
        <f t="shared" si="2"/>
        <v>0</v>
      </c>
      <c r="F38" s="177">
        <f t="shared" si="2"/>
        <v>0</v>
      </c>
      <c r="G38" s="177">
        <f t="shared" si="2"/>
        <v>0</v>
      </c>
      <c r="H38" s="177">
        <f t="shared" si="2"/>
        <v>0</v>
      </c>
      <c r="I38" s="177">
        <f t="shared" si="2"/>
        <v>0</v>
      </c>
      <c r="J38" s="177">
        <f t="shared" si="2"/>
        <v>0</v>
      </c>
      <c r="K38" s="177">
        <f t="shared" si="2"/>
        <v>0</v>
      </c>
      <c r="L38" s="177">
        <f t="shared" si="2"/>
        <v>0</v>
      </c>
    </row>
    <row r="39" spans="1:12" x14ac:dyDescent="0.25">
      <c r="A39" s="33" t="s">
        <v>3135</v>
      </c>
      <c r="B39" s="177">
        <f>B19*B27</f>
        <v>-0.5</v>
      </c>
      <c r="C39" s="177">
        <f t="shared" si="2"/>
        <v>0</v>
      </c>
      <c r="D39" s="177">
        <f t="shared" si="2"/>
        <v>0</v>
      </c>
      <c r="E39" s="177">
        <f t="shared" si="2"/>
        <v>0</v>
      </c>
      <c r="F39" s="177">
        <f t="shared" si="2"/>
        <v>0</v>
      </c>
      <c r="G39" s="177">
        <f t="shared" si="2"/>
        <v>-3.2499E-3</v>
      </c>
      <c r="H39" s="177">
        <f t="shared" si="2"/>
        <v>-6.5241500000000003E-3</v>
      </c>
      <c r="I39" s="177">
        <f t="shared" si="2"/>
        <v>0</v>
      </c>
      <c r="J39" s="177">
        <f t="shared" si="2"/>
        <v>0</v>
      </c>
      <c r="K39" s="177">
        <f t="shared" si="2"/>
        <v>0</v>
      </c>
      <c r="L39" s="177">
        <f t="shared" si="2"/>
        <v>0</v>
      </c>
    </row>
    <row r="40" spans="1:12" x14ac:dyDescent="0.25">
      <c r="A40" s="33" t="s">
        <v>3136</v>
      </c>
      <c r="B40" s="177">
        <f>B19*B28</f>
        <v>0</v>
      </c>
      <c r="C40" s="177">
        <f t="shared" si="2"/>
        <v>0</v>
      </c>
      <c r="D40" s="177">
        <f t="shared" si="2"/>
        <v>0</v>
      </c>
      <c r="E40" s="177">
        <f t="shared" si="2"/>
        <v>0</v>
      </c>
      <c r="F40" s="177">
        <f t="shared" si="2"/>
        <v>0</v>
      </c>
      <c r="G40" s="177">
        <f t="shared" si="2"/>
        <v>0</v>
      </c>
      <c r="H40" s="177">
        <f t="shared" si="2"/>
        <v>0</v>
      </c>
      <c r="I40" s="177">
        <f t="shared" si="2"/>
        <v>0</v>
      </c>
      <c r="J40" s="177">
        <f t="shared" si="2"/>
        <v>0</v>
      </c>
      <c r="K40" s="177">
        <f t="shared" si="2"/>
        <v>0</v>
      </c>
      <c r="L40" s="177">
        <f t="shared" si="2"/>
        <v>0</v>
      </c>
    </row>
    <row r="41" spans="1:12" x14ac:dyDescent="0.25">
      <c r="A41" s="33" t="s">
        <v>3105</v>
      </c>
      <c r="B41" s="177">
        <f>IF(OR(C14=1,C14=2,C14=3,C14=4,C14=5,C14=6,C14=7,C14=8,C14=9,C14=10),IF(AND(C14&gt;3,C14&lt;7),1,0),"out of range")</f>
        <v>0</v>
      </c>
      <c r="C41" s="177">
        <f>$B41*C72</f>
        <v>0</v>
      </c>
      <c r="D41" s="177">
        <f t="shared" si="2"/>
        <v>0</v>
      </c>
      <c r="E41" s="177">
        <f t="shared" si="2"/>
        <v>0</v>
      </c>
      <c r="F41" s="177">
        <f t="shared" si="2"/>
        <v>0</v>
      </c>
      <c r="G41" s="177">
        <f t="shared" si="2"/>
        <v>0</v>
      </c>
      <c r="H41" s="177">
        <f t="shared" si="2"/>
        <v>0</v>
      </c>
      <c r="I41" s="177">
        <f t="shared" si="2"/>
        <v>0</v>
      </c>
      <c r="J41" s="177">
        <f t="shared" si="2"/>
        <v>0</v>
      </c>
      <c r="K41" s="177">
        <f t="shared" si="2"/>
        <v>0</v>
      </c>
      <c r="L41" s="177">
        <f t="shared" si="2"/>
        <v>0</v>
      </c>
    </row>
    <row r="42" spans="1:12" x14ac:dyDescent="0.25">
      <c r="A42" s="33" t="s">
        <v>3106</v>
      </c>
      <c r="B42" s="177">
        <f>IF(OR(C14=1,C14=2,C14=3,C14=4,C14=5,C14=6,C14=7,C14=8,C14=9,C14=10),IF(C14&gt;6,1,0),"out of range")</f>
        <v>1</v>
      </c>
      <c r="C42" s="177">
        <f t="shared" ref="C42:L42" si="3">$B42*C73</f>
        <v>0.24214089999999999</v>
      </c>
      <c r="D42" s="177">
        <f t="shared" si="3"/>
        <v>0.29189700000000002</v>
      </c>
      <c r="E42" s="177">
        <f t="shared" si="3"/>
        <v>0.24518780000000001</v>
      </c>
      <c r="F42" s="177">
        <f t="shared" si="3"/>
        <v>0.28244530000000001</v>
      </c>
      <c r="G42" s="177">
        <f t="shared" si="3"/>
        <v>0.24965219999999999</v>
      </c>
      <c r="H42" s="177">
        <f t="shared" si="3"/>
        <v>0.35922120000000002</v>
      </c>
      <c r="I42" s="177">
        <f t="shared" si="3"/>
        <v>0.24694969999999999</v>
      </c>
      <c r="J42" s="177">
        <f t="shared" si="3"/>
        <v>0.2464877</v>
      </c>
      <c r="K42" s="177">
        <f t="shared" si="3"/>
        <v>0.2267393</v>
      </c>
      <c r="L42" s="177">
        <f t="shared" si="3"/>
        <v>0.33615030000000001</v>
      </c>
    </row>
    <row r="43" spans="1:12" x14ac:dyDescent="0.25">
      <c r="A43" s="33" t="s">
        <v>2395</v>
      </c>
      <c r="B43" s="177">
        <v>1</v>
      </c>
      <c r="C43" s="177">
        <f t="shared" ref="C43:L43" si="4">$B43*C75</f>
        <v>-3.4615640000000001</v>
      </c>
      <c r="D43" s="177">
        <f t="shared" si="4"/>
        <v>-3.1595719999999998</v>
      </c>
      <c r="E43" s="177">
        <f t="shared" si="4"/>
        <v>-3.9558979999999999</v>
      </c>
      <c r="F43" s="177">
        <f t="shared" si="4"/>
        <v>-3.6247120000000002</v>
      </c>
      <c r="G43" s="177">
        <f t="shared" si="4"/>
        <v>-4.4093819999999999</v>
      </c>
      <c r="H43" s="177">
        <f t="shared" si="4"/>
        <v>-4.0589769999999996</v>
      </c>
      <c r="I43" s="177">
        <f t="shared" si="4"/>
        <v>-4.754823</v>
      </c>
      <c r="J43" s="177">
        <f t="shared" si="4"/>
        <v>-4.2545270000000004</v>
      </c>
      <c r="K43" s="177">
        <f t="shared" si="4"/>
        <v>-4.5205529999999996</v>
      </c>
      <c r="L43" s="177">
        <f t="shared" si="4"/>
        <v>-4.3749900000000004</v>
      </c>
    </row>
    <row r="44" spans="1:12" ht="14.45" customHeight="1" x14ac:dyDescent="0.25">
      <c r="A44" s="65" t="s">
        <v>3098</v>
      </c>
      <c r="B44" s="240" t="s">
        <v>3097</v>
      </c>
      <c r="C44" s="177">
        <f>SUM(C19:C43)</f>
        <v>-1.6841581746533336</v>
      </c>
      <c r="D44" s="177">
        <f t="shared" ref="D44:L44" si="5">SUM(D19:D43)</f>
        <v>-1.5005586496483332</v>
      </c>
      <c r="E44" s="177">
        <f t="shared" si="5"/>
        <v>-2.1933634923099996</v>
      </c>
      <c r="F44" s="177">
        <f t="shared" si="5"/>
        <v>-2.0531244389399999</v>
      </c>
      <c r="G44" s="177">
        <f t="shared" si="5"/>
        <v>-2.3305094</v>
      </c>
      <c r="H44" s="177">
        <f t="shared" si="5"/>
        <v>-1.9682848249999991</v>
      </c>
      <c r="I44" s="177">
        <f t="shared" si="5"/>
        <v>-2.9838923247733335</v>
      </c>
      <c r="J44" s="177">
        <f t="shared" si="5"/>
        <v>-2.7089229977466669</v>
      </c>
      <c r="K44" s="177">
        <f t="shared" si="5"/>
        <v>-2.7796042897066666</v>
      </c>
      <c r="L44" s="177">
        <f t="shared" si="5"/>
        <v>-2.7608747527016666</v>
      </c>
    </row>
    <row r="45" spans="1:12" x14ac:dyDescent="0.25">
      <c r="A45" s="183" t="s">
        <v>3099</v>
      </c>
      <c r="B45" s="240"/>
      <c r="C45" s="184">
        <f>EXP(C44)/(1+EXP(C44))</f>
        <v>0.1565456427896422</v>
      </c>
      <c r="D45" s="184">
        <f t="shared" ref="D45:L45" si="6">EXP(D44)/(1+EXP(D44))</f>
        <v>0.18234221797505024</v>
      </c>
      <c r="E45" s="184">
        <f t="shared" si="6"/>
        <v>0.10034803473666953</v>
      </c>
      <c r="F45" s="184">
        <f t="shared" si="6"/>
        <v>0.11373705460993858</v>
      </c>
      <c r="G45" s="184">
        <f t="shared" si="6"/>
        <v>8.8627509031656476E-2</v>
      </c>
      <c r="H45" s="184">
        <f t="shared" si="6"/>
        <v>0.12257323285777438</v>
      </c>
      <c r="I45" s="184">
        <f t="shared" si="6"/>
        <v>4.8158891937446387E-2</v>
      </c>
      <c r="J45" s="184">
        <f t="shared" si="6"/>
        <v>6.2448879095301488E-2</v>
      </c>
      <c r="K45" s="184">
        <f t="shared" si="6"/>
        <v>5.8436324320371096E-2</v>
      </c>
      <c r="L45" s="184">
        <f t="shared" si="6"/>
        <v>5.9475415120951225E-2</v>
      </c>
    </row>
    <row r="46" spans="1:12" x14ac:dyDescent="0.25">
      <c r="A46" s="183"/>
      <c r="B46" s="182"/>
      <c r="C46" s="184"/>
      <c r="D46" s="184"/>
      <c r="E46" s="184"/>
      <c r="F46" s="184"/>
      <c r="G46" s="184"/>
      <c r="H46" s="184"/>
      <c r="I46" s="184"/>
      <c r="J46" s="184"/>
      <c r="K46" s="184"/>
      <c r="L46" s="184"/>
    </row>
    <row r="47" spans="1:12" x14ac:dyDescent="0.25">
      <c r="A47" s="185" t="s">
        <v>3137</v>
      </c>
      <c r="B47" s="182"/>
      <c r="C47" s="184"/>
      <c r="D47" s="184"/>
      <c r="E47" s="184"/>
      <c r="F47" s="184"/>
      <c r="G47" s="184"/>
      <c r="H47" s="184"/>
      <c r="I47" s="184"/>
      <c r="J47" s="184"/>
      <c r="K47" s="184"/>
      <c r="L47" s="184"/>
    </row>
    <row r="48" spans="1:12" x14ac:dyDescent="0.25">
      <c r="A48" s="236" t="s">
        <v>3138</v>
      </c>
      <c r="C48" s="192" t="s">
        <v>35</v>
      </c>
      <c r="D48" s="192"/>
      <c r="E48" s="192" t="s">
        <v>36</v>
      </c>
      <c r="F48" s="192"/>
      <c r="G48" s="192" t="s">
        <v>327</v>
      </c>
      <c r="H48" s="192"/>
      <c r="I48" s="192" t="s">
        <v>328</v>
      </c>
      <c r="J48" s="192"/>
      <c r="K48" s="192" t="s">
        <v>39</v>
      </c>
      <c r="L48" s="192"/>
    </row>
    <row r="49" spans="1:12" x14ac:dyDescent="0.25">
      <c r="A49" s="236"/>
      <c r="B49" s="65"/>
      <c r="C49" s="124" t="s">
        <v>330</v>
      </c>
      <c r="D49" s="124" t="s">
        <v>331</v>
      </c>
      <c r="E49" s="124" t="s">
        <v>330</v>
      </c>
      <c r="F49" s="124" t="s">
        <v>331</v>
      </c>
      <c r="G49" s="124" t="s">
        <v>330</v>
      </c>
      <c r="H49" s="124" t="s">
        <v>331</v>
      </c>
      <c r="I49" s="124" t="s">
        <v>330</v>
      </c>
      <c r="J49" s="124" t="s">
        <v>331</v>
      </c>
      <c r="K49" s="124" t="s">
        <v>330</v>
      </c>
      <c r="L49" s="124" t="s">
        <v>331</v>
      </c>
    </row>
    <row r="50" spans="1:12" x14ac:dyDescent="0.25">
      <c r="A50" s="65" t="s">
        <v>3081</v>
      </c>
      <c r="C50" s="44">
        <v>0.77540830000000005</v>
      </c>
      <c r="D50" s="44">
        <v>0.77563769999999999</v>
      </c>
      <c r="E50" s="44">
        <v>0.70281229999999995</v>
      </c>
      <c r="F50" s="44">
        <v>0.71500870000000005</v>
      </c>
      <c r="G50" s="44">
        <v>0.88191560000000002</v>
      </c>
      <c r="H50" s="44">
        <v>0.89417899999999995</v>
      </c>
      <c r="I50" s="44">
        <v>0.75830129999999996</v>
      </c>
      <c r="J50" s="44">
        <v>0.73738930000000003</v>
      </c>
      <c r="K50" s="44">
        <v>0.68838169999999999</v>
      </c>
      <c r="L50" s="44">
        <v>0.71637919999999999</v>
      </c>
    </row>
    <row r="51" spans="1:12" x14ac:dyDescent="0.25">
      <c r="A51" s="65" t="s">
        <v>332</v>
      </c>
      <c r="C51" s="44">
        <v>2.21756E-2</v>
      </c>
      <c r="D51" s="44">
        <v>7.1532499999999999E-2</v>
      </c>
      <c r="E51" s="44">
        <v>0.1056078</v>
      </c>
      <c r="F51" s="44">
        <v>0.16273389999999999</v>
      </c>
      <c r="G51" s="44"/>
      <c r="H51" s="44"/>
      <c r="I51" s="44">
        <v>0.16094420000000001</v>
      </c>
      <c r="J51" s="44">
        <v>0.25693830000000001</v>
      </c>
      <c r="K51" s="44">
        <v>4.6871500000000003E-2</v>
      </c>
      <c r="L51" s="44">
        <v>1.6735099999999999E-2</v>
      </c>
    </row>
    <row r="52" spans="1:12" x14ac:dyDescent="0.25">
      <c r="A52" s="65" t="s">
        <v>341</v>
      </c>
      <c r="C52" s="44">
        <v>-0.1650828</v>
      </c>
      <c r="D52" s="44">
        <v>-9.76775E-2</v>
      </c>
      <c r="E52" s="44">
        <v>-0.15022630000000001</v>
      </c>
      <c r="F52" s="44">
        <v>-0.1194988</v>
      </c>
      <c r="G52" s="44"/>
      <c r="H52" s="44"/>
      <c r="I52" s="44">
        <v>-0.2079405</v>
      </c>
      <c r="J52" s="44">
        <v>-0.19000410000000001</v>
      </c>
      <c r="K52" s="44">
        <v>-0.10346669999999999</v>
      </c>
      <c r="L52" s="44">
        <v>-2.65039E-2</v>
      </c>
    </row>
    <row r="53" spans="1:12" x14ac:dyDescent="0.25">
      <c r="A53" s="65" t="s">
        <v>350</v>
      </c>
      <c r="C53" s="44">
        <v>-0.21808079999999999</v>
      </c>
      <c r="D53" s="44">
        <v>-0.51866140000000005</v>
      </c>
      <c r="E53" s="44">
        <v>-4.8875700000000001E-2</v>
      </c>
      <c r="F53" s="44">
        <v>-0.36365900000000001</v>
      </c>
      <c r="G53" s="44">
        <v>-0.44954909999999998</v>
      </c>
      <c r="H53" s="44">
        <v>-0.70673980000000003</v>
      </c>
      <c r="I53" s="44">
        <v>-2.75333E-2</v>
      </c>
      <c r="J53" s="44">
        <v>-0.43789359999999999</v>
      </c>
      <c r="K53" s="44">
        <v>-9.7592300000000007E-2</v>
      </c>
      <c r="L53" s="44">
        <v>-0.29204140000000001</v>
      </c>
    </row>
    <row r="54" spans="1:12" x14ac:dyDescent="0.25">
      <c r="A54" s="65" t="s">
        <v>361</v>
      </c>
      <c r="C54" s="44">
        <v>0.3381188</v>
      </c>
      <c r="D54" s="44">
        <v>0.3235653</v>
      </c>
      <c r="E54" s="44">
        <v>0.34026810000000002</v>
      </c>
      <c r="F54" s="44">
        <v>0.3179476</v>
      </c>
      <c r="G54" s="44">
        <v>0.34574050000000001</v>
      </c>
      <c r="H54" s="44">
        <v>0.35024100000000002</v>
      </c>
      <c r="I54" s="44">
        <v>0.3427306</v>
      </c>
      <c r="J54" s="44">
        <v>0.30912810000000002</v>
      </c>
      <c r="K54" s="44">
        <v>0.34714050000000002</v>
      </c>
      <c r="L54" s="44">
        <v>0.3400705</v>
      </c>
    </row>
    <row r="55" spans="1:12" x14ac:dyDescent="0.25">
      <c r="A55" s="65" t="s">
        <v>372</v>
      </c>
      <c r="C55" s="44">
        <v>0.86243720000000001</v>
      </c>
      <c r="D55" s="44">
        <v>0.77224959999999998</v>
      </c>
      <c r="E55" s="44">
        <v>0.83802200000000004</v>
      </c>
      <c r="F55" s="44">
        <v>0.71564220000000001</v>
      </c>
      <c r="G55" s="44">
        <v>1.0263199999999999</v>
      </c>
      <c r="H55" s="44">
        <v>0.92524530000000005</v>
      </c>
      <c r="I55" s="44">
        <v>0.89843910000000005</v>
      </c>
      <c r="J55" s="44">
        <v>0.76192400000000005</v>
      </c>
      <c r="K55" s="44">
        <v>0.80692609999999998</v>
      </c>
      <c r="L55" s="44">
        <v>0.65779770000000004</v>
      </c>
    </row>
    <row r="56" spans="1:12" ht="14.45" customHeight="1" x14ac:dyDescent="0.25">
      <c r="A56" s="65" t="s">
        <v>383</v>
      </c>
      <c r="C56" s="44">
        <v>0.46639530000000001</v>
      </c>
      <c r="D56" s="44">
        <v>0.37611289999999997</v>
      </c>
      <c r="E56" s="44">
        <v>0.40645920000000002</v>
      </c>
      <c r="F56" s="44">
        <v>0.34044770000000002</v>
      </c>
      <c r="G56" s="44">
        <v>0.53716459999999999</v>
      </c>
      <c r="H56" s="44">
        <v>0.43647649999999999</v>
      </c>
      <c r="I56" s="44">
        <v>0.45763789999999999</v>
      </c>
      <c r="J56" s="44">
        <v>0.33122859999999998</v>
      </c>
      <c r="K56" s="44">
        <v>0.36657319999999999</v>
      </c>
      <c r="L56" s="44">
        <v>0.3475259</v>
      </c>
    </row>
    <row r="57" spans="1:12" ht="14.45" customHeight="1" x14ac:dyDescent="0.25">
      <c r="A57" s="65" t="s">
        <v>393</v>
      </c>
      <c r="C57" s="44"/>
      <c r="D57" s="44"/>
      <c r="E57" s="44"/>
      <c r="F57" s="44"/>
      <c r="G57" s="44">
        <v>-1.6844700000000001E-2</v>
      </c>
      <c r="H57" s="44">
        <v>-8.6629700000000004E-2</v>
      </c>
      <c r="I57" s="44"/>
      <c r="J57" s="44"/>
      <c r="K57" s="44"/>
      <c r="L57" s="44"/>
    </row>
    <row r="58" spans="1:12" ht="14.45" customHeight="1" x14ac:dyDescent="0.25">
      <c r="A58" s="65" t="s">
        <v>396</v>
      </c>
      <c r="C58" s="44"/>
      <c r="D58" s="44"/>
      <c r="E58" s="44"/>
      <c r="F58" s="44"/>
      <c r="G58" s="44">
        <v>0.2805126</v>
      </c>
      <c r="H58" s="44">
        <v>0.37067650000000002</v>
      </c>
      <c r="I58" s="44"/>
      <c r="J58" s="44"/>
      <c r="K58" s="44"/>
      <c r="L58" s="44"/>
    </row>
    <row r="59" spans="1:12" ht="14.45" customHeight="1" x14ac:dyDescent="0.25">
      <c r="A59" s="65" t="s">
        <v>399</v>
      </c>
      <c r="C59" s="44">
        <v>0.59190039999999999</v>
      </c>
      <c r="D59" s="44">
        <v>0.51808929999999997</v>
      </c>
      <c r="E59" s="44">
        <v>0.48383939999999998</v>
      </c>
      <c r="F59" s="44">
        <v>0.35457539999999999</v>
      </c>
      <c r="G59" s="44">
        <v>0.73152229999999996</v>
      </c>
      <c r="H59" s="44">
        <v>0.66967679999999996</v>
      </c>
      <c r="I59" s="44">
        <v>0.51956159999999996</v>
      </c>
      <c r="J59" s="44">
        <v>0.3577071</v>
      </c>
      <c r="K59" s="44">
        <v>0.452297</v>
      </c>
      <c r="L59" s="44">
        <v>0.38123800000000002</v>
      </c>
    </row>
    <row r="60" spans="1:12" x14ac:dyDescent="0.25">
      <c r="A60" s="65" t="s">
        <v>410</v>
      </c>
      <c r="C60" s="44">
        <v>5.1682100000000002E-2</v>
      </c>
      <c r="D60" s="44">
        <v>1.1845100000000001E-2</v>
      </c>
      <c r="E60" s="44">
        <v>4.8041500000000001E-2</v>
      </c>
      <c r="F60" s="44">
        <v>1.5787499999999999E-2</v>
      </c>
      <c r="G60" s="44">
        <v>6.5167900000000001E-2</v>
      </c>
      <c r="H60" s="44">
        <v>2.3737399999999999E-2</v>
      </c>
      <c r="I60" s="44">
        <v>3.5275800000000003E-2</v>
      </c>
      <c r="J60" s="44">
        <v>1.22218E-2</v>
      </c>
      <c r="K60" s="44">
        <v>5.9979499999999998E-2</v>
      </c>
      <c r="L60" s="44">
        <v>2.2154400000000001E-2</v>
      </c>
    </row>
    <row r="61" spans="1:12" x14ac:dyDescent="0.25">
      <c r="A61" s="65" t="s">
        <v>420</v>
      </c>
      <c r="C61" s="44">
        <v>0.31821660000000002</v>
      </c>
      <c r="D61" s="44">
        <v>0.26340940000000002</v>
      </c>
      <c r="E61" s="44">
        <v>0.22706480000000001</v>
      </c>
      <c r="F61" s="44">
        <v>0.17862330000000001</v>
      </c>
      <c r="G61" s="44">
        <v>0.34914869999999998</v>
      </c>
      <c r="H61" s="44">
        <v>0.2688352</v>
      </c>
      <c r="I61" s="44">
        <v>0.20894499999999999</v>
      </c>
      <c r="J61" s="44">
        <v>0.1225093</v>
      </c>
      <c r="K61" s="44">
        <v>0.2405852</v>
      </c>
      <c r="L61" s="44">
        <v>0.24978990000000001</v>
      </c>
    </row>
    <row r="62" spans="1:12" ht="14.45" customHeight="1" x14ac:dyDescent="0.25">
      <c r="A62" s="65" t="s">
        <v>431</v>
      </c>
      <c r="C62" s="44">
        <v>-0.14608160000000001</v>
      </c>
      <c r="D62" s="44">
        <v>-0.1455263</v>
      </c>
      <c r="E62" s="44">
        <v>-5.8562599999999999E-2</v>
      </c>
      <c r="F62" s="44">
        <v>-0.1018269</v>
      </c>
      <c r="G62" s="44"/>
      <c r="H62" s="44"/>
      <c r="I62" s="44">
        <v>-4.6868899999999998E-2</v>
      </c>
      <c r="J62" s="44">
        <v>-7.9373799999999994E-2</v>
      </c>
      <c r="K62" s="44">
        <v>-7.9331399999999996E-2</v>
      </c>
      <c r="L62" s="44">
        <v>-0.1131643</v>
      </c>
    </row>
    <row r="63" spans="1:12" ht="14.45" customHeight="1" x14ac:dyDescent="0.25">
      <c r="A63" s="65" t="s">
        <v>440</v>
      </c>
      <c r="C63" s="44">
        <v>-5.7445499999999997E-2</v>
      </c>
      <c r="D63" s="44">
        <v>-3.6701299999999999E-2</v>
      </c>
      <c r="E63" s="44">
        <v>-3.49485E-2</v>
      </c>
      <c r="F63" s="44">
        <v>-2.8313000000000001E-2</v>
      </c>
      <c r="G63" s="44">
        <v>-8.9033500000000002E-2</v>
      </c>
      <c r="H63" s="44">
        <v>-4.3489199999999999E-2</v>
      </c>
      <c r="I63" s="44">
        <v>-7.9979400000000006E-2</v>
      </c>
      <c r="J63" s="44">
        <v>-6.1415499999999998E-2</v>
      </c>
      <c r="K63" s="44">
        <v>-7.2050999999999999E-3</v>
      </c>
      <c r="L63" s="44">
        <v>1.4199099999999999E-2</v>
      </c>
    </row>
    <row r="64" spans="1:12" x14ac:dyDescent="0.25">
      <c r="A64" s="65" t="s">
        <v>451</v>
      </c>
      <c r="C64" s="44">
        <v>0.1302287</v>
      </c>
      <c r="D64" s="44">
        <v>0.16177849999999999</v>
      </c>
      <c r="E64" s="44">
        <v>0.1017299</v>
      </c>
      <c r="F64" s="44">
        <v>0.1209467</v>
      </c>
      <c r="G64" s="44"/>
      <c r="H64" s="44"/>
      <c r="I64" s="44">
        <v>0.1104907</v>
      </c>
      <c r="J64" s="44">
        <v>9.3082499999999999E-2</v>
      </c>
      <c r="K64" s="44">
        <v>9.3935099999999994E-2</v>
      </c>
      <c r="L64" s="44">
        <v>0.1614911</v>
      </c>
    </row>
    <row r="65" spans="1:14" x14ac:dyDescent="0.25">
      <c r="A65" s="65" t="s">
        <v>460</v>
      </c>
      <c r="C65" s="44">
        <v>-8.3509E-2</v>
      </c>
      <c r="D65" s="44">
        <v>-5.0766899999999997E-2</v>
      </c>
      <c r="E65" s="44">
        <v>-6.2389E-2</v>
      </c>
      <c r="F65" s="44">
        <v>-2.8580600000000001E-2</v>
      </c>
      <c r="I65" s="44">
        <v>-7.3154999999999998E-2</v>
      </c>
      <c r="J65" s="44">
        <v>-5.4369199999999999E-2</v>
      </c>
      <c r="K65" s="44">
        <v>-4.6208399999999997E-2</v>
      </c>
      <c r="L65" s="44">
        <v>2.1652100000000001E-2</v>
      </c>
    </row>
    <row r="66" spans="1:14" x14ac:dyDescent="0.25">
      <c r="A66" s="65" t="s">
        <v>3079</v>
      </c>
      <c r="C66" s="44">
        <v>2.8218099999999999E-2</v>
      </c>
      <c r="D66" s="44">
        <v>1.78356E-2</v>
      </c>
      <c r="E66" s="44">
        <v>2.8510600000000001E-2</v>
      </c>
      <c r="F66" s="44">
        <v>2.4734800000000001E-2</v>
      </c>
      <c r="G66" s="44"/>
      <c r="H66" s="44"/>
      <c r="I66" s="44">
        <v>4.6657900000000002E-2</v>
      </c>
      <c r="J66" s="44">
        <v>5.1345500000000002E-2</v>
      </c>
      <c r="K66" s="44">
        <v>1.3517899999999999E-2</v>
      </c>
      <c r="L66" s="44">
        <v>-1.0364099999999999E-2</v>
      </c>
    </row>
    <row r="67" spans="1:14" x14ac:dyDescent="0.25">
      <c r="A67" s="65" t="s">
        <v>475</v>
      </c>
      <c r="C67" s="44">
        <v>-9.5264699999999994E-2</v>
      </c>
      <c r="D67" s="44">
        <v>-0.10593370000000001</v>
      </c>
      <c r="E67" s="44">
        <v>-0.10337109999999999</v>
      </c>
      <c r="F67" s="44">
        <v>-9.1949400000000001E-2</v>
      </c>
      <c r="G67" s="44">
        <v>-9.7102800000000003E-2</v>
      </c>
      <c r="H67" s="44">
        <v>-0.12971550000000001</v>
      </c>
      <c r="I67" s="44">
        <v>-8.9318099999999997E-2</v>
      </c>
      <c r="J67" s="44">
        <v>-8.4299600000000002E-2</v>
      </c>
      <c r="K67" s="44">
        <v>-0.11851970000000001</v>
      </c>
      <c r="L67" s="44">
        <v>-0.1149054</v>
      </c>
    </row>
    <row r="68" spans="1:14" x14ac:dyDescent="0.25">
      <c r="A68" s="65" t="s">
        <v>481</v>
      </c>
      <c r="C68" s="44">
        <v>-0.27189659999999999</v>
      </c>
      <c r="D68" s="44">
        <v>-0.2236755</v>
      </c>
      <c r="E68" s="44">
        <v>-0.24778449999999999</v>
      </c>
      <c r="F68" s="44">
        <v>-0.19814909999999999</v>
      </c>
      <c r="G68" s="44">
        <v>-0.3528078</v>
      </c>
      <c r="H68" s="44">
        <v>-0.29908600000000002</v>
      </c>
      <c r="I68" s="44">
        <v>-0.25831690000000002</v>
      </c>
      <c r="J68" s="44">
        <v>-0.21235039999999999</v>
      </c>
      <c r="K68" s="44">
        <v>-0.25289650000000002</v>
      </c>
      <c r="L68" s="44">
        <v>-0.19658539999999999</v>
      </c>
    </row>
    <row r="69" spans="1:14" x14ac:dyDescent="0.25">
      <c r="A69" s="65" t="s">
        <v>492</v>
      </c>
      <c r="C69" s="44">
        <v>-6.4173800000000003E-2</v>
      </c>
      <c r="D69" s="44">
        <v>-7.23216E-2</v>
      </c>
      <c r="E69" s="44">
        <v>-5.4432599999999998E-2</v>
      </c>
      <c r="F69" s="44">
        <v>-7.7689099999999997E-2</v>
      </c>
      <c r="G69" s="44">
        <v>-0.106216</v>
      </c>
      <c r="H69" s="44">
        <v>-0.1079522</v>
      </c>
      <c r="I69" s="44">
        <v>-4.2833599999999999E-2</v>
      </c>
      <c r="J69" s="44">
        <v>-9.17351E-2</v>
      </c>
      <c r="K69" s="44">
        <v>-6.8300299999999994E-2</v>
      </c>
      <c r="L69" s="44">
        <v>-6.03548E-2</v>
      </c>
    </row>
    <row r="70" spans="1:14" x14ac:dyDescent="0.25">
      <c r="A70" s="65" t="s">
        <v>501</v>
      </c>
      <c r="E70" s="44"/>
      <c r="F70" s="44"/>
      <c r="G70" s="44">
        <v>6.4998E-3</v>
      </c>
      <c r="H70" s="44">
        <v>1.3048300000000001E-2</v>
      </c>
      <c r="I70" s="44"/>
      <c r="J70" s="44"/>
      <c r="K70" s="44"/>
      <c r="L70" s="44"/>
    </row>
    <row r="71" spans="1:14" x14ac:dyDescent="0.25">
      <c r="A71" s="65" t="s">
        <v>504</v>
      </c>
      <c r="C71" s="44">
        <v>-0.17170260000000001</v>
      </c>
      <c r="D71" s="44">
        <v>-0.1548205</v>
      </c>
      <c r="E71" s="44">
        <v>-0.1735372</v>
      </c>
      <c r="F71" s="44">
        <v>-0.12848989999999999</v>
      </c>
      <c r="G71" s="44">
        <v>-0.18994130000000001</v>
      </c>
      <c r="H71" s="44">
        <v>-0.1797791</v>
      </c>
      <c r="I71" s="44">
        <v>-0.1663626</v>
      </c>
      <c r="J71" s="44">
        <v>-7.8176499999999996E-2</v>
      </c>
      <c r="K71" s="44">
        <v>-0.18054880000000001</v>
      </c>
      <c r="L71" s="44">
        <v>-0.18947839999999999</v>
      </c>
    </row>
    <row r="72" spans="1:14" x14ac:dyDescent="0.25">
      <c r="A72" s="19" t="s">
        <v>798</v>
      </c>
      <c r="C72" s="44">
        <v>0.14427760000000001</v>
      </c>
      <c r="D72" s="44">
        <v>8.8911900000000002E-2</v>
      </c>
      <c r="E72" s="44">
        <v>0.14737049999999999</v>
      </c>
      <c r="F72" s="44">
        <v>7.2824200000000006E-2</v>
      </c>
      <c r="G72" s="44">
        <v>0.1343318</v>
      </c>
      <c r="H72" s="44">
        <v>0.1235632</v>
      </c>
      <c r="I72" s="44">
        <v>0.17296839999999999</v>
      </c>
      <c r="J72" s="44">
        <v>7.8480599999999998E-2</v>
      </c>
      <c r="K72" s="44">
        <v>0.1122838</v>
      </c>
      <c r="L72" s="44">
        <v>8.5894200000000004E-2</v>
      </c>
    </row>
    <row r="73" spans="1:14" x14ac:dyDescent="0.25">
      <c r="A73" s="19" t="s">
        <v>808</v>
      </c>
      <c r="C73" s="44">
        <v>0.24214089999999999</v>
      </c>
      <c r="D73" s="44">
        <v>0.29189700000000002</v>
      </c>
      <c r="E73" s="44">
        <v>0.24518780000000001</v>
      </c>
      <c r="F73" s="44">
        <v>0.28244530000000001</v>
      </c>
      <c r="G73" s="44">
        <v>0.24965219999999999</v>
      </c>
      <c r="H73" s="44">
        <v>0.35922120000000002</v>
      </c>
      <c r="I73" s="44">
        <v>0.24694969999999999</v>
      </c>
      <c r="J73" s="44">
        <v>0.2464877</v>
      </c>
      <c r="K73" s="44">
        <v>0.2267393</v>
      </c>
      <c r="L73" s="44">
        <v>0.33615030000000001</v>
      </c>
    </row>
    <row r="74" spans="1:14" x14ac:dyDescent="0.25">
      <c r="A74" s="19" t="s">
        <v>819</v>
      </c>
      <c r="C74" s="44">
        <v>0.1885076</v>
      </c>
      <c r="D74" s="44">
        <v>0.15081510000000001</v>
      </c>
      <c r="E74" s="44">
        <v>0.16915930000000001</v>
      </c>
      <c r="F74" s="44">
        <v>0.1437348</v>
      </c>
      <c r="G74" s="44">
        <v>0.19150229999999999</v>
      </c>
      <c r="H74" s="44">
        <v>0.17924000000000001</v>
      </c>
      <c r="I74" s="44">
        <v>0.16783419999999999</v>
      </c>
      <c r="J74" s="44">
        <v>0.1005084</v>
      </c>
      <c r="K74" s="44">
        <v>0.14859700000000001</v>
      </c>
      <c r="L74" s="44">
        <v>0.1931235</v>
      </c>
    </row>
    <row r="75" spans="1:14" x14ac:dyDescent="0.25">
      <c r="A75" s="65" t="s">
        <v>2395</v>
      </c>
      <c r="C75" s="44">
        <v>-3.4615640000000001</v>
      </c>
      <c r="D75" s="44">
        <v>-3.1595719999999998</v>
      </c>
      <c r="E75" s="44">
        <v>-3.9558979999999999</v>
      </c>
      <c r="F75" s="44">
        <v>-3.6247120000000002</v>
      </c>
      <c r="G75" s="44">
        <v>-4.4093819999999999</v>
      </c>
      <c r="H75" s="44">
        <v>-4.0589769999999996</v>
      </c>
      <c r="I75" s="44">
        <v>-4.754823</v>
      </c>
      <c r="J75" s="44">
        <v>-4.2545270000000004</v>
      </c>
      <c r="K75" s="44">
        <v>-4.5205529999999996</v>
      </c>
      <c r="L75" s="44">
        <v>-4.3749900000000004</v>
      </c>
    </row>
    <row r="76" spans="1:14" ht="58.35" customHeight="1" x14ac:dyDescent="0.25">
      <c r="A76" s="239" t="s">
        <v>3139</v>
      </c>
      <c r="B76" s="239"/>
      <c r="C76" s="239"/>
      <c r="D76" s="239"/>
      <c r="E76" s="239"/>
      <c r="F76" s="239"/>
      <c r="G76" s="239"/>
      <c r="H76" s="239"/>
      <c r="I76" s="239"/>
      <c r="J76" s="239"/>
      <c r="K76" s="239"/>
      <c r="L76" s="239"/>
      <c r="M76" s="186"/>
      <c r="N76" s="186"/>
    </row>
    <row r="77" spans="1:14" x14ac:dyDescent="0.25">
      <c r="A77" s="33" t="s">
        <v>3140</v>
      </c>
      <c r="B77" s="65"/>
      <c r="C77" s="44">
        <v>0.99960000000000004</v>
      </c>
      <c r="D77" s="118">
        <v>0.99890000000000001</v>
      </c>
      <c r="E77" s="44">
        <v>0.99939999999999996</v>
      </c>
      <c r="F77" s="44">
        <v>0.99839999999999995</v>
      </c>
      <c r="G77" s="44">
        <v>0.99960000000000004</v>
      </c>
      <c r="H77" s="44">
        <v>0.99909999999999999</v>
      </c>
      <c r="I77" s="44">
        <v>0.99950000000000006</v>
      </c>
      <c r="J77" s="44">
        <v>0.99839999999999995</v>
      </c>
      <c r="K77" s="44">
        <v>0.99929999999999997</v>
      </c>
      <c r="L77" s="44">
        <v>0.99829999999999997</v>
      </c>
    </row>
    <row r="78" spans="1:14" x14ac:dyDescent="0.25">
      <c r="E78" s="44"/>
      <c r="F78" s="118"/>
      <c r="G78" s="44"/>
      <c r="H78" s="44"/>
      <c r="I78" s="44"/>
      <c r="J78" s="44"/>
      <c r="K78" s="44"/>
      <c r="L78" s="44"/>
      <c r="M78" s="44"/>
      <c r="N78" s="44"/>
    </row>
    <row r="79" spans="1:14" x14ac:dyDescent="0.25">
      <c r="A79" s="65" t="s">
        <v>3169</v>
      </c>
      <c r="B79" s="65"/>
      <c r="C79" s="65"/>
      <c r="D79" s="65"/>
      <c r="E79" s="44"/>
      <c r="F79" s="118"/>
      <c r="G79" s="44"/>
      <c r="H79" s="44"/>
      <c r="I79" s="44"/>
      <c r="J79" s="44"/>
      <c r="K79" s="44"/>
      <c r="L79" s="44"/>
      <c r="M79" s="44"/>
      <c r="N79" s="44"/>
    </row>
    <row r="80" spans="1:14" x14ac:dyDescent="0.25">
      <c r="A80" s="65" t="s">
        <v>2397</v>
      </c>
      <c r="B80" s="65"/>
      <c r="C80" s="44">
        <v>1.0153000000000001</v>
      </c>
      <c r="D80" s="44">
        <v>1.0032000000000001</v>
      </c>
      <c r="E80" s="44">
        <v>1.0117</v>
      </c>
      <c r="F80" s="118">
        <v>1.0075000000000001</v>
      </c>
      <c r="G80" s="44">
        <v>0.96430000000000005</v>
      </c>
      <c r="H80" s="44">
        <v>0.99729999999999996</v>
      </c>
      <c r="I80" s="44">
        <v>0.99690000000000001</v>
      </c>
      <c r="J80" s="44">
        <v>1.0476000000000001</v>
      </c>
      <c r="K80" s="118">
        <v>0.98299999999999998</v>
      </c>
      <c r="L80" s="118">
        <v>0.98799999999999999</v>
      </c>
    </row>
    <row r="81" spans="1:12" x14ac:dyDescent="0.25">
      <c r="A81" s="65" t="s">
        <v>2396</v>
      </c>
      <c r="B81" s="65"/>
      <c r="C81" s="118">
        <v>0.99890000000000001</v>
      </c>
      <c r="D81" s="118">
        <v>0.99880000000000002</v>
      </c>
      <c r="E81" s="118">
        <v>0.99890000000000001</v>
      </c>
      <c r="F81" s="118">
        <v>0.99880000000000002</v>
      </c>
      <c r="G81" s="118">
        <v>0.99929999999999997</v>
      </c>
      <c r="H81" s="118">
        <v>0.99880000000000002</v>
      </c>
      <c r="I81" s="118">
        <v>0.99890000000000001</v>
      </c>
      <c r="J81" s="118">
        <v>0.99770000000000003</v>
      </c>
      <c r="K81" s="118">
        <v>0.99909999999999999</v>
      </c>
      <c r="L81" s="118">
        <v>0.99919999999999998</v>
      </c>
    </row>
  </sheetData>
  <mergeCells count="21">
    <mergeCell ref="E3:N3"/>
    <mergeCell ref="E4:F4"/>
    <mergeCell ref="G4:H4"/>
    <mergeCell ref="I4:J4"/>
    <mergeCell ref="K4:L4"/>
    <mergeCell ref="M4:N4"/>
    <mergeCell ref="A76:L76"/>
    <mergeCell ref="K17:L17"/>
    <mergeCell ref="B44:B45"/>
    <mergeCell ref="A48:A49"/>
    <mergeCell ref="C48:D48"/>
    <mergeCell ref="E48:F48"/>
    <mergeCell ref="G48:H48"/>
    <mergeCell ref="I48:J48"/>
    <mergeCell ref="K48:L48"/>
    <mergeCell ref="A17:A18"/>
    <mergeCell ref="B17:B18"/>
    <mergeCell ref="C17:D17"/>
    <mergeCell ref="E17:F17"/>
    <mergeCell ref="G17:H17"/>
    <mergeCell ref="I17:J17"/>
  </mergeCells>
  <pageMargins left="0.25" right="0.25" top="0.75" bottom="0.75" header="0.3" footer="0.3"/>
  <pageSetup scale="88" orientation="landscape" horizontalDpi="1200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7A022-E53F-4A0C-86D0-5038798889EE}">
  <sheetPr>
    <pageSetUpPr fitToPage="1"/>
  </sheetPr>
  <dimension ref="A1:N91"/>
  <sheetViews>
    <sheetView topLeftCell="A64" workbookViewId="0">
      <selection activeCell="A86" sqref="A86:L86"/>
    </sheetView>
  </sheetViews>
  <sheetFormatPr defaultColWidth="8.85546875" defaultRowHeight="15" x14ac:dyDescent="0.25"/>
  <cols>
    <col min="1" max="1" width="48.42578125" style="33" customWidth="1"/>
    <col min="2" max="2" width="23.85546875" style="33" customWidth="1"/>
    <col min="3" max="3" width="11.5703125" style="33" customWidth="1"/>
    <col min="4" max="12" width="11.42578125" style="33" customWidth="1"/>
    <col min="13" max="14" width="11.140625" style="33" customWidth="1"/>
    <col min="15" max="16384" width="8.85546875" style="33"/>
  </cols>
  <sheetData>
    <row r="1" spans="1:14" x14ac:dyDescent="0.25">
      <c r="A1" s="65" t="s">
        <v>3150</v>
      </c>
      <c r="B1" s="65"/>
      <c r="C1" s="65"/>
      <c r="D1" s="65"/>
    </row>
    <row r="2" spans="1:14" ht="15.75" thickBot="1" x14ac:dyDescent="0.3">
      <c r="A2" s="65"/>
      <c r="B2" s="65"/>
      <c r="C2" s="65"/>
      <c r="D2" s="65"/>
    </row>
    <row r="3" spans="1:14" x14ac:dyDescent="0.25">
      <c r="A3" s="166" t="s">
        <v>3108</v>
      </c>
      <c r="B3" s="167" t="s">
        <v>3082</v>
      </c>
      <c r="C3" s="168" t="s">
        <v>3107</v>
      </c>
      <c r="D3" s="65"/>
      <c r="E3" s="241" t="s">
        <v>3111</v>
      </c>
      <c r="F3" s="242"/>
      <c r="G3" s="242"/>
      <c r="H3" s="242"/>
      <c r="I3" s="242"/>
      <c r="J3" s="242"/>
      <c r="K3" s="242"/>
      <c r="L3" s="242"/>
      <c r="M3" s="242"/>
      <c r="N3" s="243"/>
    </row>
    <row r="4" spans="1:14" x14ac:dyDescent="0.25">
      <c r="A4" s="169" t="s">
        <v>3112</v>
      </c>
      <c r="B4" s="33" t="s">
        <v>3083</v>
      </c>
      <c r="C4" s="170">
        <v>50</v>
      </c>
      <c r="D4" s="65"/>
      <c r="E4" s="244" t="s">
        <v>35</v>
      </c>
      <c r="F4" s="192"/>
      <c r="G4" s="192" t="s">
        <v>36</v>
      </c>
      <c r="H4" s="192"/>
      <c r="I4" s="192" t="s">
        <v>327</v>
      </c>
      <c r="J4" s="192"/>
      <c r="K4" s="192" t="s">
        <v>328</v>
      </c>
      <c r="L4" s="192"/>
      <c r="M4" s="192" t="s">
        <v>39</v>
      </c>
      <c r="N4" s="245"/>
    </row>
    <row r="5" spans="1:14" x14ac:dyDescent="0.25">
      <c r="A5" s="169" t="s">
        <v>3113</v>
      </c>
      <c r="B5" s="33" t="s">
        <v>3084</v>
      </c>
      <c r="C5" s="170">
        <v>200</v>
      </c>
      <c r="D5" s="65"/>
      <c r="E5" s="171" t="s">
        <v>330</v>
      </c>
      <c r="F5" s="124" t="s">
        <v>331</v>
      </c>
      <c r="G5" s="124" t="s">
        <v>330</v>
      </c>
      <c r="H5" s="124" t="s">
        <v>331</v>
      </c>
      <c r="I5" s="124" t="s">
        <v>330</v>
      </c>
      <c r="J5" s="124" t="s">
        <v>331</v>
      </c>
      <c r="K5" s="124" t="s">
        <v>330</v>
      </c>
      <c r="L5" s="124" t="s">
        <v>331</v>
      </c>
      <c r="M5" s="124" t="s">
        <v>330</v>
      </c>
      <c r="N5" s="172" t="s">
        <v>331</v>
      </c>
    </row>
    <row r="6" spans="1:14" ht="15.75" thickBot="1" x14ac:dyDescent="0.3">
      <c r="A6" s="169" t="s">
        <v>3114</v>
      </c>
      <c r="B6" s="33" t="s">
        <v>3085</v>
      </c>
      <c r="C6" s="170">
        <v>45</v>
      </c>
      <c r="D6" s="65"/>
      <c r="E6" s="173">
        <f t="shared" ref="E6:N6" si="0">C50</f>
        <v>0.15597624665790258</v>
      </c>
      <c r="F6" s="174">
        <f t="shared" si="0"/>
        <v>0.18078119215588304</v>
      </c>
      <c r="G6" s="174">
        <f t="shared" si="0"/>
        <v>9.6389399207349791E-2</v>
      </c>
      <c r="H6" s="174">
        <f t="shared" si="0"/>
        <v>0.11003502331956223</v>
      </c>
      <c r="I6" s="174">
        <f t="shared" si="0"/>
        <v>9.2652942605358626E-2</v>
      </c>
      <c r="J6" s="174">
        <f t="shared" si="0"/>
        <v>0.12061739964926339</v>
      </c>
      <c r="K6" s="174">
        <f t="shared" si="0"/>
        <v>4.7364058971417947E-2</v>
      </c>
      <c r="L6" s="174">
        <f t="shared" si="0"/>
        <v>6.266203278539588E-2</v>
      </c>
      <c r="M6" s="174">
        <f t="shared" si="0"/>
        <v>5.3691908744919081E-2</v>
      </c>
      <c r="N6" s="175">
        <f t="shared" si="0"/>
        <v>5.4420020012903629E-2</v>
      </c>
    </row>
    <row r="7" spans="1:14" x14ac:dyDescent="0.25">
      <c r="A7" s="176" t="s">
        <v>3115</v>
      </c>
      <c r="B7" s="156" t="s">
        <v>3086</v>
      </c>
      <c r="C7" s="170">
        <v>160</v>
      </c>
      <c r="D7" s="65"/>
      <c r="E7" s="33" t="s">
        <v>3159</v>
      </c>
    </row>
    <row r="8" spans="1:14" x14ac:dyDescent="0.25">
      <c r="A8" s="169" t="s">
        <v>3087</v>
      </c>
      <c r="B8" s="177" t="s">
        <v>3088</v>
      </c>
      <c r="C8" s="170">
        <v>1</v>
      </c>
      <c r="D8" s="65"/>
    </row>
    <row r="9" spans="1:14" x14ac:dyDescent="0.25">
      <c r="A9" s="169" t="s">
        <v>3116</v>
      </c>
      <c r="B9" s="177" t="s">
        <v>3088</v>
      </c>
      <c r="C9" s="170">
        <v>0</v>
      </c>
      <c r="D9" s="65"/>
    </row>
    <row r="10" spans="1:14" ht="14.45" customHeight="1" x14ac:dyDescent="0.25">
      <c r="A10" s="178" t="s">
        <v>3117</v>
      </c>
      <c r="B10" s="156" t="s">
        <v>3118</v>
      </c>
      <c r="C10" s="170">
        <v>35</v>
      </c>
      <c r="D10" s="65"/>
      <c r="E10" s="118"/>
      <c r="F10" s="118"/>
      <c r="G10" s="118"/>
      <c r="H10" s="118"/>
      <c r="I10" s="118"/>
      <c r="J10" s="118"/>
      <c r="K10" s="118"/>
      <c r="L10" s="118"/>
      <c r="M10" s="118"/>
      <c r="N10" s="118"/>
    </row>
    <row r="11" spans="1:14" ht="14.45" customHeight="1" x14ac:dyDescent="0.25">
      <c r="A11" s="176" t="s">
        <v>3119</v>
      </c>
      <c r="B11" s="156" t="s">
        <v>3120</v>
      </c>
      <c r="C11" s="170">
        <v>90</v>
      </c>
      <c r="D11" s="65"/>
      <c r="E11" s="118"/>
      <c r="F11" s="118"/>
      <c r="G11" s="118"/>
      <c r="H11" s="118"/>
      <c r="I11" s="118"/>
      <c r="J11" s="118"/>
      <c r="K11" s="118"/>
      <c r="L11" s="118"/>
      <c r="M11" s="118"/>
      <c r="N11" s="118"/>
    </row>
    <row r="12" spans="1:14" x14ac:dyDescent="0.25">
      <c r="A12" s="169" t="s">
        <v>3121</v>
      </c>
      <c r="B12" s="177" t="s">
        <v>3088</v>
      </c>
      <c r="C12" s="170">
        <v>1</v>
      </c>
      <c r="D12" s="65"/>
      <c r="E12" s="118"/>
      <c r="F12" s="118"/>
      <c r="G12" s="118"/>
      <c r="H12" s="118"/>
      <c r="I12" s="118"/>
      <c r="J12" s="118"/>
      <c r="K12" s="118"/>
      <c r="L12" s="118"/>
      <c r="M12" s="118"/>
      <c r="N12" s="118"/>
    </row>
    <row r="13" spans="1:14" x14ac:dyDescent="0.25">
      <c r="A13" s="169" t="s">
        <v>3089</v>
      </c>
      <c r="B13" s="177" t="s">
        <v>3088</v>
      </c>
      <c r="C13" s="170">
        <v>0</v>
      </c>
      <c r="D13" s="65"/>
      <c r="E13" s="118"/>
      <c r="F13" s="118"/>
      <c r="G13" s="118"/>
      <c r="H13" s="118"/>
      <c r="I13" s="118"/>
      <c r="J13" s="118"/>
      <c r="K13" s="118"/>
      <c r="L13" s="118"/>
      <c r="M13" s="118"/>
      <c r="N13" s="118"/>
    </row>
    <row r="14" spans="1:14" x14ac:dyDescent="0.25">
      <c r="A14" s="169" t="s">
        <v>3142</v>
      </c>
      <c r="B14" s="177" t="s">
        <v>3100</v>
      </c>
      <c r="C14" s="170">
        <v>40</v>
      </c>
      <c r="D14" s="65"/>
      <c r="E14" s="118"/>
      <c r="F14" s="118"/>
      <c r="G14" s="118"/>
      <c r="H14" s="118"/>
      <c r="I14" s="118"/>
      <c r="J14" s="118"/>
      <c r="K14" s="118"/>
      <c r="L14" s="118"/>
      <c r="M14" s="118"/>
      <c r="N14" s="118"/>
    </row>
    <row r="15" spans="1:14" x14ac:dyDescent="0.25">
      <c r="A15" s="169" t="s">
        <v>3147</v>
      </c>
      <c r="B15" s="177" t="s">
        <v>3101</v>
      </c>
      <c r="C15" s="170">
        <v>7.5</v>
      </c>
      <c r="D15" s="65"/>
      <c r="E15" s="118"/>
      <c r="F15" s="118"/>
      <c r="G15" s="118"/>
      <c r="H15" s="118"/>
      <c r="I15" s="118"/>
      <c r="J15" s="118"/>
      <c r="K15" s="118"/>
      <c r="L15" s="118"/>
      <c r="M15" s="118"/>
      <c r="N15" s="118"/>
    </row>
    <row r="16" spans="1:14" ht="15.75" thickBot="1" x14ac:dyDescent="0.3">
      <c r="A16" s="179" t="s">
        <v>3149</v>
      </c>
      <c r="B16" s="188" t="s">
        <v>3104</v>
      </c>
      <c r="C16" s="181">
        <v>8</v>
      </c>
      <c r="D16" s="65"/>
      <c r="E16" s="118"/>
      <c r="F16" s="118"/>
      <c r="G16" s="118"/>
      <c r="H16" s="118"/>
      <c r="I16" s="118"/>
      <c r="J16" s="118"/>
      <c r="K16" s="118"/>
      <c r="L16" s="118"/>
      <c r="M16" s="118"/>
      <c r="N16" s="118"/>
    </row>
    <row r="17" spans="1:14" x14ac:dyDescent="0.25">
      <c r="A17" s="65"/>
      <c r="B17" s="65"/>
      <c r="C17" s="65"/>
      <c r="D17" s="65"/>
      <c r="E17" s="118"/>
      <c r="F17" s="118"/>
      <c r="G17" s="118"/>
      <c r="H17" s="118"/>
      <c r="I17" s="118"/>
      <c r="J17" s="118"/>
      <c r="K17" s="118"/>
      <c r="L17" s="118"/>
      <c r="M17" s="118"/>
      <c r="N17" s="118"/>
    </row>
    <row r="18" spans="1:14" x14ac:dyDescent="0.25">
      <c r="A18" s="65" t="s">
        <v>3122</v>
      </c>
      <c r="B18" s="65"/>
      <c r="C18" s="65"/>
      <c r="D18" s="65"/>
      <c r="E18" s="118"/>
      <c r="F18" s="118"/>
      <c r="G18" s="118"/>
      <c r="H18" s="118"/>
      <c r="I18" s="118"/>
      <c r="J18" s="118"/>
      <c r="K18" s="118"/>
      <c r="L18" s="118"/>
      <c r="M18" s="118"/>
      <c r="N18" s="118"/>
    </row>
    <row r="19" spans="1:14" ht="15" customHeight="1" x14ac:dyDescent="0.25">
      <c r="A19" s="236" t="s">
        <v>3168</v>
      </c>
      <c r="B19" s="236" t="s">
        <v>3109</v>
      </c>
      <c r="C19" s="192" t="s">
        <v>35</v>
      </c>
      <c r="D19" s="192"/>
      <c r="E19" s="192" t="s">
        <v>36</v>
      </c>
      <c r="F19" s="192"/>
      <c r="G19" s="192" t="s">
        <v>327</v>
      </c>
      <c r="H19" s="192"/>
      <c r="I19" s="192" t="s">
        <v>328</v>
      </c>
      <c r="J19" s="192"/>
      <c r="K19" s="192" t="s">
        <v>39</v>
      </c>
      <c r="L19" s="192"/>
    </row>
    <row r="20" spans="1:14" x14ac:dyDescent="0.25">
      <c r="A20" s="236"/>
      <c r="B20" s="236"/>
      <c r="C20" s="124" t="s">
        <v>330</v>
      </c>
      <c r="D20" s="124" t="s">
        <v>331</v>
      </c>
      <c r="E20" s="124" t="s">
        <v>330</v>
      </c>
      <c r="F20" s="124" t="s">
        <v>331</v>
      </c>
      <c r="G20" s="124" t="s">
        <v>330</v>
      </c>
      <c r="H20" s="124" t="s">
        <v>331</v>
      </c>
      <c r="I20" s="124" t="s">
        <v>330</v>
      </c>
      <c r="J20" s="124" t="s">
        <v>331</v>
      </c>
      <c r="K20" s="124" t="s">
        <v>330</v>
      </c>
      <c r="L20" s="124" t="s">
        <v>331</v>
      </c>
    </row>
    <row r="21" spans="1:14" x14ac:dyDescent="0.25">
      <c r="A21" s="33" t="s">
        <v>3123</v>
      </c>
      <c r="B21" s="177">
        <f>IF(AND(C4&gt;=30,C4&lt;80),(C4-55)/10, "out of range")</f>
        <v>-0.5</v>
      </c>
      <c r="C21" s="177">
        <f t="shared" ref="C21:L36" si="1">$B21*C55</f>
        <v>-0.38583970000000001</v>
      </c>
      <c r="D21" s="177">
        <f t="shared" si="1"/>
        <v>-0.39237889999999997</v>
      </c>
      <c r="E21" s="177">
        <f t="shared" si="1"/>
        <v>-0.35115334999999998</v>
      </c>
      <c r="F21" s="177">
        <f t="shared" si="1"/>
        <v>-0.35643704999999998</v>
      </c>
      <c r="G21" s="177">
        <f t="shared" si="1"/>
        <v>-0.44210450000000001</v>
      </c>
      <c r="H21" s="177">
        <f t="shared" si="1"/>
        <v>-0.45478515000000003</v>
      </c>
      <c r="I21" s="177">
        <f t="shared" si="1"/>
        <v>-0.3772104</v>
      </c>
      <c r="J21" s="177">
        <f t="shared" si="1"/>
        <v>-0.36679260000000002</v>
      </c>
      <c r="K21" s="177">
        <f t="shared" si="1"/>
        <v>-0.34241969999999999</v>
      </c>
      <c r="L21" s="177">
        <f t="shared" si="1"/>
        <v>-0.35913804999999999</v>
      </c>
    </row>
    <row r="22" spans="1:14" x14ac:dyDescent="0.25">
      <c r="A22" s="33" t="s">
        <v>3124</v>
      </c>
      <c r="B22" s="177">
        <f>IF(AND(C5&gt;=130,C5&lt;=320,C6&gt;=20,C6&lt;=100),(C5-C6)*0.02586-3.5,"out of range")</f>
        <v>0.5083000000000002</v>
      </c>
      <c r="C22" s="177">
        <f t="shared" si="1"/>
        <v>3.1570004700000012E-3</v>
      </c>
      <c r="D22" s="177">
        <f t="shared" si="1"/>
        <v>2.7167872550000013E-2</v>
      </c>
      <c r="E22" s="177">
        <f t="shared" si="1"/>
        <v>4.5684224950000019E-2</v>
      </c>
      <c r="F22" s="177">
        <f t="shared" si="1"/>
        <v>7.4476166830000023E-2</v>
      </c>
      <c r="G22" s="177">
        <f t="shared" si="1"/>
        <v>0</v>
      </c>
      <c r="H22" s="177">
        <f t="shared" si="1"/>
        <v>0</v>
      </c>
      <c r="I22" s="177">
        <f t="shared" si="1"/>
        <v>7.1344428870000032E-2</v>
      </c>
      <c r="J22" s="177">
        <f t="shared" si="1"/>
        <v>0.12214977632000006</v>
      </c>
      <c r="K22" s="177">
        <f t="shared" si="1"/>
        <v>1.6634015840000006E-2</v>
      </c>
      <c r="L22" s="177">
        <f t="shared" si="1"/>
        <v>4.5055712000000015E-4</v>
      </c>
    </row>
    <row r="23" spans="1:14" x14ac:dyDescent="0.25">
      <c r="A23" s="33" t="s">
        <v>3125</v>
      </c>
      <c r="B23" s="177">
        <f>IF(AND(C6&gt;=20,C6&lt;=100),(C6*0.02586-1.3)/0.3,"out of range")</f>
        <v>-0.45433333333333364</v>
      </c>
      <c r="C23" s="177">
        <f t="shared" si="1"/>
        <v>7.0319714266666722E-2</v>
      </c>
      <c r="D23" s="177">
        <f t="shared" si="1"/>
        <v>4.1402578866666699E-2</v>
      </c>
      <c r="E23" s="177">
        <f t="shared" si="1"/>
        <v>6.3939056933333377E-2</v>
      </c>
      <c r="F23" s="177">
        <f t="shared" si="1"/>
        <v>5.1148574066666702E-2</v>
      </c>
      <c r="G23" s="177">
        <f t="shared" si="1"/>
        <v>0</v>
      </c>
      <c r="H23" s="177">
        <f t="shared" si="1"/>
        <v>0</v>
      </c>
      <c r="I23" s="177">
        <f t="shared" si="1"/>
        <v>8.8808491233333398E-2</v>
      </c>
      <c r="J23" s="177">
        <f t="shared" si="1"/>
        <v>8.279034646666672E-2</v>
      </c>
      <c r="K23" s="177">
        <f t="shared" si="1"/>
        <v>4.3507641500000027E-2</v>
      </c>
      <c r="L23" s="177">
        <f t="shared" si="1"/>
        <v>1.0026364300000007E-2</v>
      </c>
    </row>
    <row r="24" spans="1:14" x14ac:dyDescent="0.25">
      <c r="A24" s="33" t="s">
        <v>3090</v>
      </c>
      <c r="B24" s="177">
        <f>IF(AND(C7&gt;=90,C7&lt;=200),(MIN(C7,110)-110)/20,"out of range")</f>
        <v>0</v>
      </c>
      <c r="C24" s="177">
        <f t="shared" si="1"/>
        <v>0</v>
      </c>
      <c r="D24" s="177">
        <f t="shared" si="1"/>
        <v>0</v>
      </c>
      <c r="E24" s="177">
        <f t="shared" si="1"/>
        <v>0</v>
      </c>
      <c r="F24" s="177">
        <f t="shared" si="1"/>
        <v>0</v>
      </c>
      <c r="G24" s="177">
        <f t="shared" si="1"/>
        <v>0</v>
      </c>
      <c r="H24" s="177">
        <f t="shared" si="1"/>
        <v>0</v>
      </c>
      <c r="I24" s="177">
        <f t="shared" si="1"/>
        <v>0</v>
      </c>
      <c r="J24" s="177">
        <f t="shared" si="1"/>
        <v>0</v>
      </c>
      <c r="K24" s="177">
        <f t="shared" si="1"/>
        <v>0</v>
      </c>
      <c r="L24" s="177">
        <f t="shared" si="1"/>
        <v>0</v>
      </c>
    </row>
    <row r="25" spans="1:14" x14ac:dyDescent="0.25">
      <c r="A25" s="33" t="s">
        <v>3091</v>
      </c>
      <c r="B25" s="177">
        <f>IF(AND(C7&gt;=90,C7&lt;=200),(MAX(C7,110)-130)/20,"out of range")</f>
        <v>1.5</v>
      </c>
      <c r="C25" s="177">
        <f t="shared" si="1"/>
        <v>0.46068255000000002</v>
      </c>
      <c r="D25" s="177">
        <f t="shared" si="1"/>
        <v>0.44586225000000002</v>
      </c>
      <c r="E25" s="177">
        <f t="shared" si="1"/>
        <v>0.47176649999999998</v>
      </c>
      <c r="F25" s="177">
        <f t="shared" si="1"/>
        <v>0.44703779999999999</v>
      </c>
      <c r="G25" s="177">
        <f t="shared" si="1"/>
        <v>0.45043785000000003</v>
      </c>
      <c r="H25" s="177">
        <f t="shared" si="1"/>
        <v>0.46674764999999996</v>
      </c>
      <c r="I25" s="177">
        <f t="shared" si="1"/>
        <v>0.46916294999999997</v>
      </c>
      <c r="J25" s="177">
        <f t="shared" si="1"/>
        <v>0.43201259999999997</v>
      </c>
      <c r="K25" s="177">
        <f t="shared" si="1"/>
        <v>0.48567840000000001</v>
      </c>
      <c r="L25" s="177">
        <f t="shared" si="1"/>
        <v>0.47993549999999996</v>
      </c>
    </row>
    <row r="26" spans="1:14" x14ac:dyDescent="0.25">
      <c r="A26" s="33" t="s">
        <v>372</v>
      </c>
      <c r="B26" s="177">
        <f>IF(OR(C8=0,C8=1),C8,"out of range")</f>
        <v>1</v>
      </c>
      <c r="C26" s="177">
        <f t="shared" si="1"/>
        <v>0.496753</v>
      </c>
      <c r="D26" s="177">
        <f t="shared" si="1"/>
        <v>0.45270539999999998</v>
      </c>
      <c r="E26" s="177">
        <f t="shared" si="1"/>
        <v>0.47992170000000001</v>
      </c>
      <c r="F26" s="177">
        <f t="shared" si="1"/>
        <v>0.39958300000000002</v>
      </c>
      <c r="G26" s="177">
        <f t="shared" si="1"/>
        <v>0.61703589999999997</v>
      </c>
      <c r="H26" s="177">
        <f t="shared" si="1"/>
        <v>0.55350520000000003</v>
      </c>
      <c r="I26" s="177">
        <f t="shared" si="1"/>
        <v>0.52307499999999996</v>
      </c>
      <c r="J26" s="177">
        <f t="shared" si="1"/>
        <v>0.49372769999999999</v>
      </c>
      <c r="K26" s="177">
        <f t="shared" si="1"/>
        <v>0.44414710000000002</v>
      </c>
      <c r="L26" s="177">
        <f t="shared" si="1"/>
        <v>0.27282919999999999</v>
      </c>
    </row>
    <row r="27" spans="1:14" x14ac:dyDescent="0.25">
      <c r="A27" s="33" t="s">
        <v>3126</v>
      </c>
      <c r="B27" s="177">
        <f>IF(OR(C9=0,C9=1),C9,"out of range")</f>
        <v>0</v>
      </c>
      <c r="C27" s="177">
        <f t="shared" si="1"/>
        <v>0</v>
      </c>
      <c r="D27" s="177">
        <f t="shared" si="1"/>
        <v>0</v>
      </c>
      <c r="E27" s="177">
        <f t="shared" si="1"/>
        <v>0</v>
      </c>
      <c r="F27" s="177">
        <f t="shared" si="1"/>
        <v>0</v>
      </c>
      <c r="G27" s="177">
        <f t="shared" si="1"/>
        <v>0</v>
      </c>
      <c r="H27" s="177">
        <f t="shared" si="1"/>
        <v>0</v>
      </c>
      <c r="I27" s="177">
        <f t="shared" si="1"/>
        <v>0</v>
      </c>
      <c r="J27" s="177">
        <f t="shared" si="1"/>
        <v>0</v>
      </c>
      <c r="K27" s="177">
        <f t="shared" si="1"/>
        <v>0</v>
      </c>
      <c r="L27" s="177">
        <f t="shared" si="1"/>
        <v>0</v>
      </c>
    </row>
    <row r="28" spans="1:14" x14ac:dyDescent="0.25">
      <c r="A28" s="33" t="s">
        <v>3092</v>
      </c>
      <c r="B28" s="177">
        <f>IF(AND(C10&gt;=18.5,C10&lt;40),(MIN(C10,30)-25)/5,"out of range")</f>
        <v>1</v>
      </c>
      <c r="C28" s="177">
        <f t="shared" si="1"/>
        <v>0</v>
      </c>
      <c r="D28" s="177">
        <f t="shared" si="1"/>
        <v>0</v>
      </c>
      <c r="E28" s="177">
        <f t="shared" si="1"/>
        <v>0</v>
      </c>
      <c r="F28" s="177">
        <f t="shared" si="1"/>
        <v>0</v>
      </c>
      <c r="G28" s="177">
        <f t="shared" si="1"/>
        <v>-1.9133500000000001E-2</v>
      </c>
      <c r="H28" s="177">
        <f t="shared" si="1"/>
        <v>-8.5428599999999993E-2</v>
      </c>
      <c r="I28" s="177">
        <f t="shared" si="1"/>
        <v>0</v>
      </c>
      <c r="J28" s="177">
        <f t="shared" si="1"/>
        <v>0</v>
      </c>
      <c r="K28" s="177">
        <f t="shared" si="1"/>
        <v>0</v>
      </c>
      <c r="L28" s="177">
        <f t="shared" si="1"/>
        <v>0</v>
      </c>
    </row>
    <row r="29" spans="1:14" x14ac:dyDescent="0.25">
      <c r="A29" s="33" t="s">
        <v>3093</v>
      </c>
      <c r="B29" s="177">
        <f>IF(AND(C10&gt;=18.5,C10&lt;40),(MAX(C10,30)-30)/5,"out of range")</f>
        <v>1</v>
      </c>
      <c r="C29" s="177">
        <f t="shared" si="1"/>
        <v>0</v>
      </c>
      <c r="D29" s="177">
        <f t="shared" si="1"/>
        <v>0</v>
      </c>
      <c r="E29" s="177">
        <f t="shared" si="1"/>
        <v>0</v>
      </c>
      <c r="F29" s="177">
        <f t="shared" si="1"/>
        <v>0</v>
      </c>
      <c r="G29" s="177">
        <f t="shared" si="1"/>
        <v>0.27643020000000001</v>
      </c>
      <c r="H29" s="177">
        <f t="shared" si="1"/>
        <v>0.35517359999999998</v>
      </c>
      <c r="I29" s="177">
        <f t="shared" si="1"/>
        <v>0</v>
      </c>
      <c r="J29" s="177">
        <f t="shared" si="1"/>
        <v>0</v>
      </c>
      <c r="K29" s="177">
        <f t="shared" si="1"/>
        <v>0</v>
      </c>
      <c r="L29" s="177">
        <f t="shared" si="1"/>
        <v>0</v>
      </c>
    </row>
    <row r="30" spans="1:14" x14ac:dyDescent="0.25">
      <c r="A30" s="33" t="s">
        <v>3094</v>
      </c>
      <c r="B30" s="177">
        <f>IF(AND(C11&gt;=15,C11&lt;=150),(MIN(C11,60)-60)/-15,"out of range")</f>
        <v>0</v>
      </c>
      <c r="C30" s="177">
        <f t="shared" si="1"/>
        <v>0</v>
      </c>
      <c r="D30" s="177">
        <f t="shared" si="1"/>
        <v>0</v>
      </c>
      <c r="E30" s="177">
        <f t="shared" si="1"/>
        <v>0</v>
      </c>
      <c r="F30" s="177">
        <f t="shared" si="1"/>
        <v>0</v>
      </c>
      <c r="G30" s="177">
        <f t="shared" si="1"/>
        <v>0</v>
      </c>
      <c r="H30" s="177">
        <f t="shared" si="1"/>
        <v>0</v>
      </c>
      <c r="I30" s="177">
        <f t="shared" si="1"/>
        <v>0</v>
      </c>
      <c r="J30" s="177">
        <f t="shared" si="1"/>
        <v>0</v>
      </c>
      <c r="K30" s="177">
        <f t="shared" si="1"/>
        <v>0</v>
      </c>
      <c r="L30" s="177">
        <f t="shared" si="1"/>
        <v>0</v>
      </c>
    </row>
    <row r="31" spans="1:14" x14ac:dyDescent="0.25">
      <c r="A31" s="33" t="s">
        <v>3095</v>
      </c>
      <c r="B31" s="177">
        <f>IF(AND(C11&gt;=15,C11&lt;=150),(MAX(C11,60)-90)/-15,"out of range")</f>
        <v>0</v>
      </c>
      <c r="C31" s="177">
        <f t="shared" si="1"/>
        <v>0</v>
      </c>
      <c r="D31" s="177">
        <f t="shared" si="1"/>
        <v>0</v>
      </c>
      <c r="E31" s="177">
        <f t="shared" si="1"/>
        <v>0</v>
      </c>
      <c r="F31" s="177">
        <f t="shared" si="1"/>
        <v>0</v>
      </c>
      <c r="G31" s="177">
        <f t="shared" si="1"/>
        <v>0</v>
      </c>
      <c r="H31" s="177">
        <f t="shared" si="1"/>
        <v>0</v>
      </c>
      <c r="I31" s="177">
        <f t="shared" si="1"/>
        <v>0</v>
      </c>
      <c r="J31" s="177">
        <f t="shared" si="1"/>
        <v>0</v>
      </c>
      <c r="K31" s="177">
        <f t="shared" si="1"/>
        <v>0</v>
      </c>
      <c r="L31" s="177">
        <f t="shared" si="1"/>
        <v>0</v>
      </c>
    </row>
    <row r="32" spans="1:14" x14ac:dyDescent="0.25">
      <c r="A32" s="33" t="s">
        <v>3127</v>
      </c>
      <c r="B32" s="177">
        <f>IF(OR(C12=0,C12=1),C12,"out of range")</f>
        <v>1</v>
      </c>
      <c r="C32" s="177">
        <f t="shared" si="1"/>
        <v>0.30348920000000001</v>
      </c>
      <c r="D32" s="177">
        <f t="shared" si="1"/>
        <v>0.25080520000000001</v>
      </c>
      <c r="E32" s="177">
        <f t="shared" si="1"/>
        <v>0.2133861</v>
      </c>
      <c r="F32" s="177">
        <f t="shared" si="1"/>
        <v>0.16866210000000001</v>
      </c>
      <c r="G32" s="177">
        <f t="shared" si="1"/>
        <v>0.33136139999999997</v>
      </c>
      <c r="H32" s="177">
        <f t="shared" si="1"/>
        <v>0.2570964</v>
      </c>
      <c r="I32" s="177">
        <f t="shared" si="1"/>
        <v>0.19816400000000001</v>
      </c>
      <c r="J32" s="177">
        <f t="shared" si="1"/>
        <v>0.1132755</v>
      </c>
      <c r="K32" s="177">
        <f t="shared" si="1"/>
        <v>0.22534199999999999</v>
      </c>
      <c r="L32" s="177">
        <f t="shared" si="1"/>
        <v>0.240036</v>
      </c>
    </row>
    <row r="33" spans="1:12" x14ac:dyDescent="0.25">
      <c r="A33" s="33" t="s">
        <v>3128</v>
      </c>
      <c r="B33" s="177">
        <f>IF(OR(C13=0,C13=1),C13,"out of range")</f>
        <v>0</v>
      </c>
      <c r="C33" s="177">
        <f t="shared" si="1"/>
        <v>0</v>
      </c>
      <c r="D33" s="177">
        <f t="shared" si="1"/>
        <v>0</v>
      </c>
      <c r="E33" s="177">
        <f t="shared" si="1"/>
        <v>0</v>
      </c>
      <c r="F33" s="177">
        <f t="shared" si="1"/>
        <v>0</v>
      </c>
      <c r="G33" s="177">
        <f t="shared" si="1"/>
        <v>0</v>
      </c>
      <c r="H33" s="177">
        <f t="shared" si="1"/>
        <v>0</v>
      </c>
      <c r="I33" s="177">
        <f t="shared" si="1"/>
        <v>0</v>
      </c>
      <c r="J33" s="177">
        <f t="shared" si="1"/>
        <v>0</v>
      </c>
      <c r="K33" s="177">
        <f t="shared" si="1"/>
        <v>0</v>
      </c>
      <c r="L33" s="177">
        <f t="shared" si="1"/>
        <v>0</v>
      </c>
    </row>
    <row r="34" spans="1:12" x14ac:dyDescent="0.25">
      <c r="A34" s="33" t="s">
        <v>3129</v>
      </c>
      <c r="B34" s="177">
        <f>B25*B32</f>
        <v>1.5</v>
      </c>
      <c r="C34" s="177">
        <f t="shared" si="1"/>
        <v>-0.1000539</v>
      </c>
      <c r="D34" s="177">
        <f t="shared" si="1"/>
        <v>-7.1204249999999997E-2</v>
      </c>
      <c r="E34" s="177">
        <f t="shared" si="1"/>
        <v>-6.7712399999999992E-2</v>
      </c>
      <c r="F34" s="177">
        <f t="shared" si="1"/>
        <v>-5.7155700000000004E-2</v>
      </c>
      <c r="G34" s="177">
        <f t="shared" si="1"/>
        <v>-0.1503456</v>
      </c>
      <c r="H34" s="177">
        <f t="shared" si="1"/>
        <v>-8.8676550000000007E-2</v>
      </c>
      <c r="I34" s="177">
        <f t="shared" si="1"/>
        <v>-0.14106974999999999</v>
      </c>
      <c r="J34" s="177">
        <f t="shared" si="1"/>
        <v>-0.1078191</v>
      </c>
      <c r="K34" s="177">
        <f t="shared" si="1"/>
        <v>-2.4238799999999998E-2</v>
      </c>
      <c r="L34" s="177">
        <f t="shared" si="1"/>
        <v>6.3882000000000001E-3</v>
      </c>
    </row>
    <row r="35" spans="1:12" x14ac:dyDescent="0.25">
      <c r="A35" s="33" t="s">
        <v>3130</v>
      </c>
      <c r="B35" s="177">
        <f>B22*B33</f>
        <v>0</v>
      </c>
      <c r="C35" s="177">
        <f t="shared" si="1"/>
        <v>0</v>
      </c>
      <c r="D35" s="177">
        <f t="shared" si="1"/>
        <v>0</v>
      </c>
      <c r="E35" s="177">
        <f t="shared" si="1"/>
        <v>0</v>
      </c>
      <c r="F35" s="177">
        <f t="shared" si="1"/>
        <v>0</v>
      </c>
      <c r="G35" s="177">
        <f t="shared" si="1"/>
        <v>0</v>
      </c>
      <c r="H35" s="177">
        <f t="shared" si="1"/>
        <v>0</v>
      </c>
      <c r="I35" s="177">
        <f t="shared" si="1"/>
        <v>0</v>
      </c>
      <c r="J35" s="177">
        <f t="shared" si="1"/>
        <v>0</v>
      </c>
      <c r="K35" s="177">
        <f t="shared" si="1"/>
        <v>0</v>
      </c>
      <c r="L35" s="177">
        <f t="shared" si="1"/>
        <v>0</v>
      </c>
    </row>
    <row r="36" spans="1:12" x14ac:dyDescent="0.25">
      <c r="A36" s="33" t="s">
        <v>3131</v>
      </c>
      <c r="B36" s="177">
        <f>B21*B22</f>
        <v>-0.2541500000000001</v>
      </c>
      <c r="C36" s="177">
        <f t="shared" si="1"/>
        <v>1.886481746500001E-2</v>
      </c>
      <c r="D36" s="177">
        <f t="shared" si="1"/>
        <v>1.1092503825000004E-2</v>
      </c>
      <c r="E36" s="177">
        <f t="shared" si="1"/>
        <v>1.3622058775000005E-2</v>
      </c>
      <c r="F36" s="177">
        <f t="shared" si="1"/>
        <v>5.8138083250000019E-3</v>
      </c>
      <c r="G36" s="177">
        <f t="shared" si="1"/>
        <v>0</v>
      </c>
      <c r="H36" s="177">
        <f t="shared" si="1"/>
        <v>0</v>
      </c>
      <c r="I36" s="177">
        <f t="shared" si="1"/>
        <v>1.6014347310000007E-2</v>
      </c>
      <c r="J36" s="177">
        <f t="shared" si="1"/>
        <v>1.2428214565000005E-2</v>
      </c>
      <c r="K36" s="177">
        <f t="shared" si="1"/>
        <v>9.8869941300000035E-3</v>
      </c>
      <c r="L36" s="177">
        <f t="shared" si="1"/>
        <v>-7.0115664450000025E-3</v>
      </c>
    </row>
    <row r="37" spans="1:12" x14ac:dyDescent="0.25">
      <c r="A37" s="33" t="s">
        <v>3132</v>
      </c>
      <c r="B37" s="177">
        <f>B21*B23</f>
        <v>0.22716666666666682</v>
      </c>
      <c r="C37" s="177">
        <f t="shared" ref="C37:L44" si="2">$B37*C71</f>
        <v>6.5479655833333376E-3</v>
      </c>
      <c r="D37" s="177">
        <f t="shared" si="2"/>
        <v>4.5330881166666696E-3</v>
      </c>
      <c r="E37" s="177">
        <f t="shared" si="2"/>
        <v>6.6278601000000041E-3</v>
      </c>
      <c r="F37" s="177">
        <f t="shared" si="2"/>
        <v>6.0756406500000037E-3</v>
      </c>
      <c r="G37" s="177">
        <f t="shared" si="2"/>
        <v>0</v>
      </c>
      <c r="H37" s="177">
        <f t="shared" si="2"/>
        <v>0</v>
      </c>
      <c r="I37" s="177">
        <f t="shared" si="2"/>
        <v>1.0755319416666674E-2</v>
      </c>
      <c r="J37" s="177">
        <f t="shared" si="2"/>
        <v>1.2073090533333343E-2</v>
      </c>
      <c r="K37" s="177">
        <f t="shared" si="2"/>
        <v>3.2199284833333355E-3</v>
      </c>
      <c r="L37" s="177">
        <f t="shared" si="2"/>
        <v>-1.8170380166666678E-3</v>
      </c>
    </row>
    <row r="38" spans="1:12" x14ac:dyDescent="0.25">
      <c r="A38" s="33" t="s">
        <v>3096</v>
      </c>
      <c r="B38" s="177">
        <f>B21*B25</f>
        <v>-0.75</v>
      </c>
      <c r="C38" s="177">
        <f t="shared" si="2"/>
        <v>6.5639099999999992E-2</v>
      </c>
      <c r="D38" s="177">
        <f t="shared" si="2"/>
        <v>7.6701450000000004E-2</v>
      </c>
      <c r="E38" s="177">
        <f t="shared" si="2"/>
        <v>7.2137925000000006E-2</v>
      </c>
      <c r="F38" s="177">
        <f t="shared" si="2"/>
        <v>6.7308674999999998E-2</v>
      </c>
      <c r="G38" s="177">
        <f t="shared" si="2"/>
        <v>6.3402224999999993E-2</v>
      </c>
      <c r="H38" s="177">
        <f t="shared" si="2"/>
        <v>9.1429200000000002E-2</v>
      </c>
      <c r="I38" s="177">
        <f t="shared" si="2"/>
        <v>6.0146700000000004E-2</v>
      </c>
      <c r="J38" s="177">
        <f t="shared" si="2"/>
        <v>6.0996974999999995E-2</v>
      </c>
      <c r="K38" s="177">
        <f t="shared" si="2"/>
        <v>8.4109425000000002E-2</v>
      </c>
      <c r="L38" s="177">
        <f t="shared" si="2"/>
        <v>8.4142275000000002E-2</v>
      </c>
    </row>
    <row r="39" spans="1:12" x14ac:dyDescent="0.25">
      <c r="A39" s="33" t="s">
        <v>3133</v>
      </c>
      <c r="B39" s="177">
        <f>B21*B26</f>
        <v>-0.5</v>
      </c>
      <c r="C39" s="177">
        <f t="shared" si="2"/>
        <v>0.1133551</v>
      </c>
      <c r="D39" s="177">
        <f t="shared" si="2"/>
        <v>8.8125350000000005E-2</v>
      </c>
      <c r="E39" s="177">
        <f t="shared" si="2"/>
        <v>0.1000733</v>
      </c>
      <c r="F39" s="177">
        <f t="shared" si="2"/>
        <v>7.4873200000000001E-2</v>
      </c>
      <c r="G39" s="177">
        <f t="shared" si="2"/>
        <v>0.14945310000000001</v>
      </c>
      <c r="H39" s="177">
        <f t="shared" si="2"/>
        <v>0.12187885</v>
      </c>
      <c r="I39" s="177">
        <f t="shared" si="2"/>
        <v>0.10012615</v>
      </c>
      <c r="J39" s="177">
        <f t="shared" si="2"/>
        <v>8.3964700000000003E-2</v>
      </c>
      <c r="K39" s="177">
        <f t="shared" si="2"/>
        <v>0.1044853</v>
      </c>
      <c r="L39" s="177">
        <f t="shared" si="2"/>
        <v>7.2349449999999996E-2</v>
      </c>
    </row>
    <row r="40" spans="1:12" x14ac:dyDescent="0.25">
      <c r="A40" s="33" t="s">
        <v>3134</v>
      </c>
      <c r="B40" s="177">
        <f>B21*B27</f>
        <v>0</v>
      </c>
      <c r="C40" s="177">
        <f t="shared" si="2"/>
        <v>0</v>
      </c>
      <c r="D40" s="177">
        <f t="shared" si="2"/>
        <v>0</v>
      </c>
      <c r="E40" s="177">
        <f t="shared" si="2"/>
        <v>0</v>
      </c>
      <c r="F40" s="177">
        <f t="shared" si="2"/>
        <v>0</v>
      </c>
      <c r="G40" s="177">
        <f t="shared" si="2"/>
        <v>0</v>
      </c>
      <c r="H40" s="177">
        <f t="shared" si="2"/>
        <v>0</v>
      </c>
      <c r="I40" s="177">
        <f t="shared" si="2"/>
        <v>0</v>
      </c>
      <c r="J40" s="177">
        <f t="shared" si="2"/>
        <v>0</v>
      </c>
      <c r="K40" s="177">
        <f t="shared" si="2"/>
        <v>0</v>
      </c>
      <c r="L40" s="177">
        <f t="shared" si="2"/>
        <v>0</v>
      </c>
    </row>
    <row r="41" spans="1:12" x14ac:dyDescent="0.25">
      <c r="A41" s="33" t="s">
        <v>3135</v>
      </c>
      <c r="B41" s="177">
        <f>B21*B29</f>
        <v>-0.5</v>
      </c>
      <c r="C41" s="177">
        <f t="shared" si="2"/>
        <v>0</v>
      </c>
      <c r="D41" s="177">
        <f t="shared" si="2"/>
        <v>0</v>
      </c>
      <c r="E41" s="177">
        <f t="shared" si="2"/>
        <v>0</v>
      </c>
      <c r="F41" s="177">
        <f t="shared" si="2"/>
        <v>0</v>
      </c>
      <c r="G41" s="177">
        <f t="shared" si="2"/>
        <v>-4.0519999999999998E-4</v>
      </c>
      <c r="H41" s="177">
        <f t="shared" si="2"/>
        <v>-1.8953500000000001E-3</v>
      </c>
      <c r="I41" s="177">
        <f t="shared" si="2"/>
        <v>0</v>
      </c>
      <c r="J41" s="177">
        <f t="shared" si="2"/>
        <v>0</v>
      </c>
      <c r="K41" s="177">
        <f t="shared" si="2"/>
        <v>0</v>
      </c>
      <c r="L41" s="177">
        <f t="shared" si="2"/>
        <v>0</v>
      </c>
    </row>
    <row r="42" spans="1:12" x14ac:dyDescent="0.25">
      <c r="A42" s="33" t="s">
        <v>3136</v>
      </c>
      <c r="B42" s="177">
        <f>B21*B30</f>
        <v>0</v>
      </c>
      <c r="C42" s="177">
        <f t="shared" si="2"/>
        <v>0</v>
      </c>
      <c r="D42" s="177">
        <f t="shared" si="2"/>
        <v>0</v>
      </c>
      <c r="E42" s="177">
        <f t="shared" si="2"/>
        <v>0</v>
      </c>
      <c r="F42" s="177">
        <f t="shared" si="2"/>
        <v>0</v>
      </c>
      <c r="G42" s="177">
        <f t="shared" si="2"/>
        <v>0</v>
      </c>
      <c r="H42" s="177">
        <f t="shared" si="2"/>
        <v>0</v>
      </c>
      <c r="I42" s="177">
        <f t="shared" si="2"/>
        <v>0</v>
      </c>
      <c r="J42" s="177">
        <f t="shared" si="2"/>
        <v>0</v>
      </c>
      <c r="K42" s="177">
        <f t="shared" si="2"/>
        <v>0</v>
      </c>
      <c r="L42" s="177">
        <f t="shared" si="2"/>
        <v>0</v>
      </c>
    </row>
    <row r="43" spans="1:12" x14ac:dyDescent="0.25">
      <c r="A43" s="33" t="s">
        <v>3105</v>
      </c>
      <c r="B43" s="177">
        <f>IF(OR(C16=1,C16=2,C16=3,C16=4,C16=5,C16=6,C16=7,C16=8,C16=9,C16=10),IF(AND(C16&gt;3,C16&lt;7),1,0),"out of range")</f>
        <v>0</v>
      </c>
      <c r="C43" s="177">
        <f>$B43*C77</f>
        <v>0</v>
      </c>
      <c r="D43" s="177">
        <f t="shared" si="2"/>
        <v>0</v>
      </c>
      <c r="E43" s="177">
        <f t="shared" si="2"/>
        <v>0</v>
      </c>
      <c r="F43" s="177">
        <f t="shared" si="2"/>
        <v>0</v>
      </c>
      <c r="G43" s="177">
        <f t="shared" si="2"/>
        <v>0</v>
      </c>
      <c r="H43" s="177">
        <f t="shared" si="2"/>
        <v>0</v>
      </c>
      <c r="I43" s="177">
        <f t="shared" si="2"/>
        <v>0</v>
      </c>
      <c r="J43" s="177">
        <f t="shared" si="2"/>
        <v>0</v>
      </c>
      <c r="K43" s="177">
        <f t="shared" si="2"/>
        <v>0</v>
      </c>
      <c r="L43" s="177">
        <f t="shared" si="2"/>
        <v>0</v>
      </c>
    </row>
    <row r="44" spans="1:12" x14ac:dyDescent="0.25">
      <c r="A44" s="33" t="s">
        <v>3106</v>
      </c>
      <c r="B44" s="177">
        <f>IF(OR(C16=1,C16=2,C16=3,C16=4,C16=5,C16=6,C16=7,C16=8,C16=9,C16=10),IF(C16&gt;6,1,0),"out of range")</f>
        <v>1</v>
      </c>
      <c r="C44" s="177">
        <f>$B44*C78</f>
        <v>0.22615959999999999</v>
      </c>
      <c r="D44" s="177">
        <f t="shared" si="2"/>
        <v>0.27507300000000001</v>
      </c>
      <c r="E44" s="177">
        <f t="shared" si="2"/>
        <v>0.22813600000000001</v>
      </c>
      <c r="F44" s="177">
        <f t="shared" si="2"/>
        <v>0.26766830000000003</v>
      </c>
      <c r="G44" s="177">
        <f t="shared" si="2"/>
        <v>0.2314147</v>
      </c>
      <c r="H44" s="177">
        <f t="shared" si="2"/>
        <v>0.33712039999999999</v>
      </c>
      <c r="I44" s="177">
        <f t="shared" si="2"/>
        <v>0.2276</v>
      </c>
      <c r="J44" s="177">
        <f t="shared" si="2"/>
        <v>0.23060820000000001</v>
      </c>
      <c r="K44" s="177">
        <f t="shared" si="2"/>
        <v>0.20957410000000001</v>
      </c>
      <c r="L44" s="177">
        <f t="shared" si="2"/>
        <v>0.32049879999999997</v>
      </c>
    </row>
    <row r="45" spans="1:12" x14ac:dyDescent="0.25">
      <c r="A45" s="33" t="s">
        <v>3143</v>
      </c>
      <c r="B45" s="177">
        <f>IF(AND(C14&gt;=0.1,C14&lt;=25000),LN(C14),"out of range")</f>
        <v>3.6888794541139363</v>
      </c>
      <c r="C45" s="177">
        <f>$B45*C80</f>
        <v>0.60716078488741176</v>
      </c>
      <c r="D45" s="177">
        <f t="shared" ref="D45:L45" si="3">$B45*D80</f>
        <v>0.65398410068642543</v>
      </c>
      <c r="E45" s="177">
        <f t="shared" si="3"/>
        <v>0.5060493368260397</v>
      </c>
      <c r="F45" s="177">
        <f t="shared" si="3"/>
        <v>0.50752968415097555</v>
      </c>
      <c r="G45" s="177">
        <f t="shared" si="3"/>
        <v>0.71864351753402533</v>
      </c>
      <c r="H45" s="177">
        <f t="shared" si="3"/>
        <v>0.79849742885312058</v>
      </c>
      <c r="I45" s="177">
        <f t="shared" si="3"/>
        <v>0.51876047764902544</v>
      </c>
      <c r="J45" s="177">
        <f t="shared" si="3"/>
        <v>0.49954141569309179</v>
      </c>
      <c r="K45" s="177">
        <f t="shared" si="3"/>
        <v>0.47415491617782513</v>
      </c>
      <c r="L45" s="177">
        <f t="shared" si="3"/>
        <v>0.51826395447450169</v>
      </c>
    </row>
    <row r="46" spans="1:12" x14ac:dyDescent="0.25">
      <c r="A46" s="33" t="s">
        <v>3102</v>
      </c>
      <c r="B46" s="177">
        <f>IF(AND(C15&gt;=3,C15&lt;=15),(C15-5.3)*B26,"out of range")</f>
        <v>2.2000000000000002</v>
      </c>
      <c r="C46" s="177">
        <f>$B46*C82</f>
        <v>0.28567286000000003</v>
      </c>
      <c r="D46" s="177">
        <f t="shared" ref="D46:L47" si="4">$B46*D82</f>
        <v>0.25645356000000002</v>
      </c>
      <c r="E46" s="177">
        <f t="shared" si="4"/>
        <v>0.2710224</v>
      </c>
      <c r="F46" s="177">
        <f t="shared" si="4"/>
        <v>0.2228204</v>
      </c>
      <c r="G46" s="177">
        <f t="shared" si="4"/>
        <v>0.3886696</v>
      </c>
      <c r="H46" s="177">
        <f t="shared" si="4"/>
        <v>0.32625340000000003</v>
      </c>
      <c r="I46" s="177">
        <f t="shared" si="4"/>
        <v>0.36445816000000003</v>
      </c>
      <c r="J46" s="177">
        <f t="shared" si="4"/>
        <v>0.25562900000000005</v>
      </c>
      <c r="K46" s="177">
        <f t="shared" si="4"/>
        <v>0.1974148</v>
      </c>
      <c r="L46" s="177">
        <f t="shared" si="4"/>
        <v>0.19102798000000001</v>
      </c>
    </row>
    <row r="47" spans="1:12" x14ac:dyDescent="0.25">
      <c r="A47" s="33" t="s">
        <v>3103</v>
      </c>
      <c r="B47" s="177">
        <f>IF(AND(C15&gt;=3,C15&lt;=15),(C15-5.3)*(1-B26),"out of range")</f>
        <v>0</v>
      </c>
      <c r="C47" s="177">
        <f>$B47*C83</f>
        <v>0</v>
      </c>
      <c r="D47" s="177">
        <f t="shared" si="4"/>
        <v>0</v>
      </c>
      <c r="E47" s="177">
        <f t="shared" si="4"/>
        <v>0</v>
      </c>
      <c r="F47" s="177">
        <f t="shared" si="4"/>
        <v>0</v>
      </c>
      <c r="G47" s="177">
        <f t="shared" si="4"/>
        <v>0</v>
      </c>
      <c r="H47" s="177">
        <f t="shared" si="4"/>
        <v>0</v>
      </c>
      <c r="I47" s="177">
        <f t="shared" si="4"/>
        <v>0</v>
      </c>
      <c r="J47" s="177">
        <f t="shared" si="4"/>
        <v>0</v>
      </c>
      <c r="K47" s="177">
        <f t="shared" si="4"/>
        <v>0</v>
      </c>
      <c r="L47" s="177">
        <f t="shared" si="4"/>
        <v>0</v>
      </c>
    </row>
    <row r="48" spans="1:12" x14ac:dyDescent="0.25">
      <c r="A48" s="33" t="s">
        <v>2395</v>
      </c>
      <c r="B48" s="177">
        <v>1</v>
      </c>
      <c r="C48" s="177">
        <f>$B48*C85</f>
        <v>-3.860385</v>
      </c>
      <c r="D48" s="177">
        <f t="shared" ref="D48:L48" si="5">$B48*D85</f>
        <v>-3.6313870000000001</v>
      </c>
      <c r="E48" s="177">
        <f t="shared" si="5"/>
        <v>-4.2915029999999996</v>
      </c>
      <c r="F48" s="177">
        <f t="shared" si="5"/>
        <v>-3.9697879999999999</v>
      </c>
      <c r="G48" s="177">
        <f t="shared" si="5"/>
        <v>-4.8965240000000003</v>
      </c>
      <c r="H48" s="177">
        <f t="shared" si="5"/>
        <v>-4.663513</v>
      </c>
      <c r="I48" s="177">
        <f t="shared" si="5"/>
        <v>-5.1315049999999998</v>
      </c>
      <c r="J48" s="177">
        <f t="shared" si="5"/>
        <v>-4.629874</v>
      </c>
      <c r="K48" s="177">
        <f t="shared" si="5"/>
        <v>-4.800802</v>
      </c>
      <c r="L48" s="177">
        <f t="shared" si="5"/>
        <v>-4.6830480000000003</v>
      </c>
    </row>
    <row r="49" spans="1:12" ht="14.45" customHeight="1" x14ac:dyDescent="0.25">
      <c r="A49" s="65" t="s">
        <v>3098</v>
      </c>
      <c r="B49" s="240" t="s">
        <v>3097</v>
      </c>
      <c r="C49" s="177">
        <f>SUM(C21:C48)</f>
        <v>-1.6884769073275883</v>
      </c>
      <c r="D49" s="177">
        <f t="shared" ref="D49:L49" si="6">SUM(D21:D48)</f>
        <v>-1.5110637959552409</v>
      </c>
      <c r="E49" s="177">
        <f t="shared" si="6"/>
        <v>-2.2380022874156267</v>
      </c>
      <c r="F49" s="177">
        <f t="shared" si="6"/>
        <v>-2.0903834009773572</v>
      </c>
      <c r="G49" s="177">
        <f t="shared" si="6"/>
        <v>-2.2816643074659755</v>
      </c>
      <c r="H49" s="177">
        <f t="shared" si="6"/>
        <v>-1.9865965211468795</v>
      </c>
      <c r="I49" s="177">
        <f t="shared" si="6"/>
        <v>-3.0013691255209745</v>
      </c>
      <c r="J49" s="177">
        <f t="shared" si="6"/>
        <v>-2.7052881814219081</v>
      </c>
      <c r="K49" s="177">
        <f t="shared" si="6"/>
        <v>-2.8693058788688415</v>
      </c>
      <c r="L49" s="177">
        <f t="shared" si="6"/>
        <v>-2.8550663735671655</v>
      </c>
    </row>
    <row r="50" spans="1:12" x14ac:dyDescent="0.25">
      <c r="A50" s="183" t="s">
        <v>3099</v>
      </c>
      <c r="B50" s="240"/>
      <c r="C50" s="184">
        <f>EXP(C49)/(1+EXP(C49))</f>
        <v>0.15597624665790258</v>
      </c>
      <c r="D50" s="184">
        <f t="shared" ref="D50:L50" si="7">EXP(D49)/(1+EXP(D49))</f>
        <v>0.18078119215588304</v>
      </c>
      <c r="E50" s="184">
        <f t="shared" si="7"/>
        <v>9.6389399207349791E-2</v>
      </c>
      <c r="F50" s="184">
        <f t="shared" si="7"/>
        <v>0.11003502331956223</v>
      </c>
      <c r="G50" s="184">
        <f t="shared" si="7"/>
        <v>9.2652942605358626E-2</v>
      </c>
      <c r="H50" s="184">
        <f t="shared" si="7"/>
        <v>0.12061739964926339</v>
      </c>
      <c r="I50" s="184">
        <f t="shared" si="7"/>
        <v>4.7364058971417947E-2</v>
      </c>
      <c r="J50" s="184">
        <f t="shared" si="7"/>
        <v>6.266203278539588E-2</v>
      </c>
      <c r="K50" s="184">
        <f t="shared" si="7"/>
        <v>5.3691908744919081E-2</v>
      </c>
      <c r="L50" s="184">
        <f t="shared" si="7"/>
        <v>5.4420020012903629E-2</v>
      </c>
    </row>
    <row r="51" spans="1:12" x14ac:dyDescent="0.25">
      <c r="A51" s="183"/>
      <c r="B51" s="182"/>
      <c r="C51" s="184"/>
      <c r="D51" s="184"/>
      <c r="E51" s="184"/>
      <c r="F51" s="184"/>
      <c r="G51" s="184"/>
      <c r="H51" s="184"/>
      <c r="I51" s="184"/>
      <c r="J51" s="184"/>
      <c r="K51" s="184"/>
      <c r="L51" s="184"/>
    </row>
    <row r="52" spans="1:12" x14ac:dyDescent="0.25">
      <c r="A52" s="185" t="s">
        <v>3137</v>
      </c>
      <c r="B52" s="182"/>
      <c r="C52" s="184"/>
      <c r="D52" s="184"/>
      <c r="E52" s="184"/>
      <c r="F52" s="184"/>
      <c r="G52" s="184"/>
      <c r="H52" s="184"/>
      <c r="I52" s="184"/>
      <c r="J52" s="184"/>
      <c r="K52" s="184"/>
      <c r="L52" s="184"/>
    </row>
    <row r="53" spans="1:12" x14ac:dyDescent="0.25">
      <c r="A53" s="236" t="s">
        <v>3138</v>
      </c>
      <c r="C53" s="192" t="s">
        <v>35</v>
      </c>
      <c r="D53" s="192"/>
      <c r="E53" s="192" t="s">
        <v>36</v>
      </c>
      <c r="F53" s="192"/>
      <c r="G53" s="192" t="s">
        <v>327</v>
      </c>
      <c r="H53" s="192"/>
      <c r="I53" s="192" t="s">
        <v>328</v>
      </c>
      <c r="J53" s="192"/>
      <c r="K53" s="192" t="s">
        <v>39</v>
      </c>
      <c r="L53" s="192"/>
    </row>
    <row r="54" spans="1:12" x14ac:dyDescent="0.25">
      <c r="A54" s="236"/>
      <c r="B54" s="65"/>
      <c r="C54" s="124" t="s">
        <v>330</v>
      </c>
      <c r="D54" s="124" t="s">
        <v>331</v>
      </c>
      <c r="E54" s="124" t="s">
        <v>330</v>
      </c>
      <c r="F54" s="124" t="s">
        <v>331</v>
      </c>
      <c r="G54" s="124" t="s">
        <v>330</v>
      </c>
      <c r="H54" s="124" t="s">
        <v>331</v>
      </c>
      <c r="I54" s="124" t="s">
        <v>330</v>
      </c>
      <c r="J54" s="124" t="s">
        <v>331</v>
      </c>
      <c r="K54" s="124" t="s">
        <v>330</v>
      </c>
      <c r="L54" s="124" t="s">
        <v>331</v>
      </c>
    </row>
    <row r="55" spans="1:12" x14ac:dyDescent="0.25">
      <c r="A55" s="65" t="s">
        <v>3081</v>
      </c>
      <c r="C55" s="44">
        <v>0.77167940000000002</v>
      </c>
      <c r="D55" s="44">
        <v>0.78475779999999995</v>
      </c>
      <c r="E55" s="44">
        <v>0.70230669999999995</v>
      </c>
      <c r="F55" s="44">
        <v>0.71287409999999996</v>
      </c>
      <c r="G55" s="44">
        <v>0.88420900000000002</v>
      </c>
      <c r="H55" s="44">
        <v>0.90957030000000005</v>
      </c>
      <c r="I55" s="44">
        <v>0.7544208</v>
      </c>
      <c r="J55" s="44">
        <v>0.73358520000000005</v>
      </c>
      <c r="K55" s="44">
        <v>0.68483939999999999</v>
      </c>
      <c r="L55" s="44">
        <v>0.71827609999999997</v>
      </c>
    </row>
    <row r="56" spans="1:12" x14ac:dyDescent="0.25">
      <c r="A56" s="65" t="s">
        <v>332</v>
      </c>
      <c r="C56" s="44">
        <v>6.2109000000000001E-3</v>
      </c>
      <c r="D56" s="44">
        <v>5.3448500000000003E-2</v>
      </c>
      <c r="E56" s="44">
        <v>8.9876499999999998E-2</v>
      </c>
      <c r="F56" s="44">
        <v>0.14652009999999999</v>
      </c>
      <c r="G56" s="44"/>
      <c r="H56" s="44"/>
      <c r="I56" s="44">
        <v>0.14035890000000001</v>
      </c>
      <c r="J56" s="44">
        <v>0.24031040000000001</v>
      </c>
      <c r="K56" s="44">
        <v>3.2724799999999998E-2</v>
      </c>
      <c r="L56" s="44">
        <v>8.8639999999999997E-4</v>
      </c>
    </row>
    <row r="57" spans="1:12" x14ac:dyDescent="0.25">
      <c r="A57" s="65" t="s">
        <v>341</v>
      </c>
      <c r="C57" s="44">
        <v>-0.15477560000000001</v>
      </c>
      <c r="D57" s="44">
        <v>-9.1128200000000006E-2</v>
      </c>
      <c r="E57" s="44">
        <v>-0.14073160000000001</v>
      </c>
      <c r="F57" s="44">
        <v>-0.1125794</v>
      </c>
      <c r="G57" s="44"/>
      <c r="H57" s="44"/>
      <c r="I57" s="44">
        <v>-0.1954699</v>
      </c>
      <c r="J57" s="44">
        <v>-0.18222379999999999</v>
      </c>
      <c r="K57" s="44">
        <v>-9.5761499999999999E-2</v>
      </c>
      <c r="L57" s="44">
        <v>-2.2068299999999999E-2</v>
      </c>
    </row>
    <row r="58" spans="1:12" x14ac:dyDescent="0.25">
      <c r="A58" s="65" t="s">
        <v>350</v>
      </c>
      <c r="C58" s="44">
        <v>-0.19331229999999999</v>
      </c>
      <c r="D58" s="44">
        <v>-0.4921973</v>
      </c>
      <c r="E58" s="44">
        <v>-2.5664800000000002E-2</v>
      </c>
      <c r="F58" s="44">
        <v>-0.33872160000000001</v>
      </c>
      <c r="G58" s="44">
        <v>-0.42147400000000002</v>
      </c>
      <c r="H58" s="44">
        <v>-0.67651839999999996</v>
      </c>
      <c r="I58" s="44">
        <v>-2.1814E-3</v>
      </c>
      <c r="J58" s="44">
        <v>-0.41488599999999998</v>
      </c>
      <c r="K58" s="44">
        <v>-7.4740000000000001E-2</v>
      </c>
      <c r="L58" s="44">
        <v>-0.27197589999999999</v>
      </c>
    </row>
    <row r="59" spans="1:12" x14ac:dyDescent="0.25">
      <c r="A59" s="65" t="s">
        <v>361</v>
      </c>
      <c r="C59" s="44">
        <v>0.3071217</v>
      </c>
      <c r="D59" s="44">
        <v>0.29724149999999999</v>
      </c>
      <c r="E59" s="44">
        <v>0.31451099999999999</v>
      </c>
      <c r="F59" s="44">
        <v>0.29802519999999999</v>
      </c>
      <c r="G59" s="44">
        <v>0.3002919</v>
      </c>
      <c r="H59" s="44">
        <v>0.31116509999999997</v>
      </c>
      <c r="I59" s="44">
        <v>0.31277529999999998</v>
      </c>
      <c r="J59" s="44">
        <v>0.2880084</v>
      </c>
      <c r="K59" s="44">
        <v>0.32378560000000001</v>
      </c>
      <c r="L59" s="44">
        <v>0.31995699999999999</v>
      </c>
    </row>
    <row r="60" spans="1:12" x14ac:dyDescent="0.25">
      <c r="A60" s="65" t="s">
        <v>372</v>
      </c>
      <c r="C60" s="44">
        <v>0.496753</v>
      </c>
      <c r="D60" s="44">
        <v>0.45270539999999998</v>
      </c>
      <c r="E60" s="44">
        <v>0.47992170000000001</v>
      </c>
      <c r="F60" s="44">
        <v>0.39958300000000002</v>
      </c>
      <c r="G60" s="44">
        <v>0.61703589999999997</v>
      </c>
      <c r="H60" s="44">
        <v>0.55350520000000003</v>
      </c>
      <c r="I60" s="44">
        <v>0.52307499999999996</v>
      </c>
      <c r="J60" s="44">
        <v>0.49372769999999999</v>
      </c>
      <c r="K60" s="44">
        <v>0.44414710000000002</v>
      </c>
      <c r="L60" s="44">
        <v>0.27282919999999999</v>
      </c>
    </row>
    <row r="61" spans="1:12" ht="14.45" customHeight="1" x14ac:dyDescent="0.25">
      <c r="A61" s="65" t="s">
        <v>383</v>
      </c>
      <c r="C61" s="44">
        <v>0.46660499999999999</v>
      </c>
      <c r="D61" s="44">
        <v>0.3726641</v>
      </c>
      <c r="E61" s="44">
        <v>0.40620489999999998</v>
      </c>
      <c r="F61" s="44">
        <v>0.33791110000000002</v>
      </c>
      <c r="G61" s="44">
        <v>0.53802689999999997</v>
      </c>
      <c r="H61" s="44">
        <v>0.43268109999999999</v>
      </c>
      <c r="I61" s="44">
        <v>0.45942280000000002</v>
      </c>
      <c r="J61" s="44">
        <v>0.3326075</v>
      </c>
      <c r="K61" s="44">
        <v>0.36369509999999999</v>
      </c>
      <c r="L61" s="44">
        <v>0.34267629999999999</v>
      </c>
    </row>
    <row r="62" spans="1:12" ht="14.45" customHeight="1" x14ac:dyDescent="0.25">
      <c r="A62" s="65" t="s">
        <v>393</v>
      </c>
      <c r="C62" s="44"/>
      <c r="D62" s="44"/>
      <c r="E62" s="44"/>
      <c r="F62" s="44"/>
      <c r="G62" s="44">
        <v>-1.9133500000000001E-2</v>
      </c>
      <c r="H62" s="44">
        <v>-8.5428599999999993E-2</v>
      </c>
      <c r="I62" s="44"/>
      <c r="J62" s="44"/>
      <c r="K62" s="44"/>
      <c r="L62" s="44"/>
    </row>
    <row r="63" spans="1:12" ht="14.45" customHeight="1" x14ac:dyDescent="0.25">
      <c r="A63" s="65" t="s">
        <v>396</v>
      </c>
      <c r="C63" s="44"/>
      <c r="D63" s="44"/>
      <c r="E63" s="44"/>
      <c r="F63" s="44"/>
      <c r="G63" s="44">
        <v>0.27643020000000001</v>
      </c>
      <c r="H63" s="44">
        <v>0.35517359999999998</v>
      </c>
      <c r="I63" s="44"/>
      <c r="J63" s="44"/>
      <c r="K63" s="44"/>
      <c r="L63" s="44"/>
    </row>
    <row r="64" spans="1:12" ht="14.45" customHeight="1" x14ac:dyDescent="0.25">
      <c r="A64" s="65" t="s">
        <v>399</v>
      </c>
      <c r="C64" s="44">
        <v>0.47806969999999999</v>
      </c>
      <c r="D64" s="44">
        <v>0.38868540000000001</v>
      </c>
      <c r="E64" s="44">
        <v>0.38477440000000002</v>
      </c>
      <c r="F64" s="44">
        <v>0.2582604</v>
      </c>
      <c r="G64" s="44">
        <v>0.59758469999999997</v>
      </c>
      <c r="H64" s="44">
        <v>0.51022449999999997</v>
      </c>
      <c r="I64" s="44">
        <v>0.41732370000000002</v>
      </c>
      <c r="J64" s="44">
        <v>0.25868360000000001</v>
      </c>
      <c r="K64" s="44">
        <v>0.36295290000000002</v>
      </c>
      <c r="L64" s="44">
        <v>0.29071340000000001</v>
      </c>
    </row>
    <row r="65" spans="1:12" x14ac:dyDescent="0.25">
      <c r="A65" s="65" t="s">
        <v>410</v>
      </c>
      <c r="C65" s="44">
        <v>5.2907700000000002E-2</v>
      </c>
      <c r="D65" s="44">
        <v>8.1661000000000008E-3</v>
      </c>
      <c r="E65" s="44">
        <v>4.9517400000000003E-2</v>
      </c>
      <c r="F65" s="44">
        <v>1.4776900000000001E-2</v>
      </c>
      <c r="G65" s="44">
        <v>6.5419699999999997E-2</v>
      </c>
      <c r="H65" s="44">
        <v>1.5472E-2</v>
      </c>
      <c r="I65" s="44">
        <v>3.85169E-2</v>
      </c>
      <c r="J65" s="44">
        <v>1.24978E-2</v>
      </c>
      <c r="K65" s="44">
        <v>6.0315399999999998E-2</v>
      </c>
      <c r="L65" s="44">
        <v>1.8654799999999999E-2</v>
      </c>
    </row>
    <row r="66" spans="1:12" x14ac:dyDescent="0.25">
      <c r="A66" s="65" t="s">
        <v>420</v>
      </c>
      <c r="C66" s="44">
        <v>0.30348920000000001</v>
      </c>
      <c r="D66" s="44">
        <v>0.25080520000000001</v>
      </c>
      <c r="E66" s="44">
        <v>0.2133861</v>
      </c>
      <c r="F66" s="44">
        <v>0.16866210000000001</v>
      </c>
      <c r="G66" s="44">
        <v>0.33136139999999997</v>
      </c>
      <c r="H66" s="44">
        <v>0.2570964</v>
      </c>
      <c r="I66" s="44">
        <v>0.19816400000000001</v>
      </c>
      <c r="J66" s="44">
        <v>0.1132755</v>
      </c>
      <c r="K66" s="44">
        <v>0.22534199999999999</v>
      </c>
      <c r="L66" s="44">
        <v>0.240036</v>
      </c>
    </row>
    <row r="67" spans="1:12" ht="14.45" customHeight="1" x14ac:dyDescent="0.25">
      <c r="A67" s="65" t="s">
        <v>431</v>
      </c>
      <c r="C67" s="44">
        <v>-0.1556524</v>
      </c>
      <c r="D67" s="44">
        <v>-0.1538484</v>
      </c>
      <c r="E67" s="44">
        <v>-6.7855200000000004E-2</v>
      </c>
      <c r="F67" s="44">
        <v>-0.1073619</v>
      </c>
      <c r="G67" s="44"/>
      <c r="H67" s="44"/>
      <c r="I67" s="44">
        <v>-5.5740499999999998E-2</v>
      </c>
      <c r="J67" s="44">
        <v>-8.2354200000000002E-2</v>
      </c>
      <c r="K67" s="44">
        <v>-8.8563199999999995E-2</v>
      </c>
      <c r="L67" s="44">
        <v>-0.1218938</v>
      </c>
    </row>
    <row r="68" spans="1:12" ht="14.45" customHeight="1" x14ac:dyDescent="0.25">
      <c r="A68" s="65" t="s">
        <v>440</v>
      </c>
      <c r="C68" s="44">
        <v>-6.6702600000000001E-2</v>
      </c>
      <c r="D68" s="44">
        <v>-4.7469499999999998E-2</v>
      </c>
      <c r="E68" s="44">
        <v>-4.5141599999999997E-2</v>
      </c>
      <c r="F68" s="44">
        <v>-3.81038E-2</v>
      </c>
      <c r="G68" s="44">
        <v>-0.1002304</v>
      </c>
      <c r="H68" s="44">
        <v>-5.9117700000000002E-2</v>
      </c>
      <c r="I68" s="44">
        <v>-9.4046500000000005E-2</v>
      </c>
      <c r="J68" s="44">
        <v>-7.1879399999999996E-2</v>
      </c>
      <c r="K68" s="44">
        <v>-1.6159199999999999E-2</v>
      </c>
      <c r="L68" s="44">
        <v>4.2588000000000001E-3</v>
      </c>
    </row>
    <row r="69" spans="1:12" x14ac:dyDescent="0.25">
      <c r="A69" s="65" t="s">
        <v>451</v>
      </c>
      <c r="C69" s="44">
        <v>0.1061825</v>
      </c>
      <c r="D69" s="44">
        <v>0.1415382</v>
      </c>
      <c r="E69" s="44">
        <v>7.8818700000000005E-2</v>
      </c>
      <c r="F69" s="44">
        <v>0.10341690000000001</v>
      </c>
      <c r="G69" s="44"/>
      <c r="H69" s="44"/>
      <c r="I69" s="44">
        <v>8.4488800000000003E-2</v>
      </c>
      <c r="J69" s="44">
        <v>7.6592400000000005E-2</v>
      </c>
      <c r="K69" s="44">
        <v>7.2706800000000002E-2</v>
      </c>
      <c r="L69" s="44">
        <v>0.14127290000000001</v>
      </c>
    </row>
    <row r="70" spans="1:12" x14ac:dyDescent="0.25">
      <c r="A70" s="65" t="s">
        <v>460</v>
      </c>
      <c r="C70" s="44">
        <v>-7.4227100000000004E-2</v>
      </c>
      <c r="D70" s="44">
        <v>-4.3645499999999997E-2</v>
      </c>
      <c r="E70" s="44">
        <v>-5.35985E-2</v>
      </c>
      <c r="F70" s="44">
        <v>-2.28755E-2</v>
      </c>
      <c r="I70" s="44">
        <v>-6.3011399999999995E-2</v>
      </c>
      <c r="J70" s="44">
        <v>-4.8901100000000003E-2</v>
      </c>
      <c r="K70" s="44">
        <v>-3.8902199999999998E-2</v>
      </c>
      <c r="L70" s="44">
        <v>2.75883E-2</v>
      </c>
    </row>
    <row r="71" spans="1:12" x14ac:dyDescent="0.25">
      <c r="A71" s="65" t="s">
        <v>3079</v>
      </c>
      <c r="C71" s="44">
        <v>2.8824499999999999E-2</v>
      </c>
      <c r="D71" s="44">
        <v>1.9954900000000001E-2</v>
      </c>
      <c r="E71" s="44">
        <v>2.9176199999999999E-2</v>
      </c>
      <c r="F71" s="44">
        <v>2.67453E-2</v>
      </c>
      <c r="G71" s="44"/>
      <c r="H71" s="44"/>
      <c r="I71" s="44">
        <v>4.7345499999999999E-2</v>
      </c>
      <c r="J71" s="44">
        <v>5.3146400000000003E-2</v>
      </c>
      <c r="K71" s="44">
        <v>1.4174300000000001E-2</v>
      </c>
      <c r="L71" s="44">
        <v>-7.9986999999999992E-3</v>
      </c>
    </row>
    <row r="72" spans="1:12" x14ac:dyDescent="0.25">
      <c r="A72" s="65" t="s">
        <v>475</v>
      </c>
      <c r="C72" s="44">
        <v>-8.7518799999999994E-2</v>
      </c>
      <c r="D72" s="44">
        <v>-0.1022686</v>
      </c>
      <c r="E72" s="44">
        <v>-9.6183900000000003E-2</v>
      </c>
      <c r="F72" s="44">
        <v>-8.9744900000000002E-2</v>
      </c>
      <c r="G72" s="44">
        <v>-8.4536299999999995E-2</v>
      </c>
      <c r="H72" s="44">
        <v>-0.1219056</v>
      </c>
      <c r="I72" s="44">
        <v>-8.0195600000000006E-2</v>
      </c>
      <c r="J72" s="44">
        <v>-8.1329299999999993E-2</v>
      </c>
      <c r="K72" s="44">
        <v>-0.11214590000000001</v>
      </c>
      <c r="L72" s="44">
        <v>-0.1121897</v>
      </c>
    </row>
    <row r="73" spans="1:12" x14ac:dyDescent="0.25">
      <c r="A73" s="65" t="s">
        <v>481</v>
      </c>
      <c r="C73" s="44">
        <v>-0.2267102</v>
      </c>
      <c r="D73" s="44">
        <v>-0.17625070000000001</v>
      </c>
      <c r="E73" s="44">
        <v>-0.20014660000000001</v>
      </c>
      <c r="F73" s="44">
        <v>-0.1497464</v>
      </c>
      <c r="G73" s="44">
        <v>-0.29890620000000001</v>
      </c>
      <c r="H73" s="44">
        <v>-0.24375769999999999</v>
      </c>
      <c r="I73" s="44">
        <v>-0.20025229999999999</v>
      </c>
      <c r="J73" s="44">
        <v>-0.16792940000000001</v>
      </c>
      <c r="K73" s="44">
        <v>-0.20897060000000001</v>
      </c>
      <c r="L73" s="44">
        <v>-0.14469889999999999</v>
      </c>
    </row>
    <row r="74" spans="1:12" x14ac:dyDescent="0.25">
      <c r="A74" s="65" t="s">
        <v>492</v>
      </c>
      <c r="C74" s="44">
        <v>-6.7612500000000006E-2</v>
      </c>
      <c r="D74" s="44">
        <v>-7.1587300000000006E-2</v>
      </c>
      <c r="E74" s="44">
        <v>-5.8647199999999997E-2</v>
      </c>
      <c r="F74" s="44">
        <v>-7.7205999999999997E-2</v>
      </c>
      <c r="G74" s="44">
        <v>-0.1111354</v>
      </c>
      <c r="H74" s="44">
        <v>-0.105363</v>
      </c>
      <c r="I74" s="44">
        <v>-4.8474200000000002E-2</v>
      </c>
      <c r="J74" s="44">
        <v>-9.2796900000000002E-2</v>
      </c>
      <c r="K74" s="44">
        <v>-7.0339700000000005E-2</v>
      </c>
      <c r="L74" s="44">
        <v>-5.80327E-2</v>
      </c>
    </row>
    <row r="75" spans="1:12" x14ac:dyDescent="0.25">
      <c r="A75" s="65" t="s">
        <v>501</v>
      </c>
      <c r="E75" s="44"/>
      <c r="F75" s="44"/>
      <c r="G75" s="44">
        <v>8.1039999999999997E-4</v>
      </c>
      <c r="H75" s="44">
        <v>3.7907000000000001E-3</v>
      </c>
      <c r="I75" s="44"/>
      <c r="J75" s="44"/>
      <c r="K75" s="44"/>
      <c r="L75" s="44"/>
    </row>
    <row r="76" spans="1:12" x14ac:dyDescent="0.25">
      <c r="A76" s="65" t="s">
        <v>504</v>
      </c>
      <c r="C76" s="44">
        <v>-0.14932309999999999</v>
      </c>
      <c r="D76" s="44">
        <v>-0.14286679999999999</v>
      </c>
      <c r="E76" s="44">
        <v>-0.1537791</v>
      </c>
      <c r="F76" s="44">
        <v>-0.11983679999999999</v>
      </c>
      <c r="G76" s="44">
        <v>-0.16666349999999999</v>
      </c>
      <c r="H76" s="44">
        <v>-0.16602069999999999</v>
      </c>
      <c r="I76" s="44">
        <v>-0.14553430000000001</v>
      </c>
      <c r="J76" s="44">
        <v>-6.77064E-2</v>
      </c>
      <c r="K76" s="44">
        <v>-0.16050010000000001</v>
      </c>
      <c r="L76" s="44">
        <v>-0.18209139999999999</v>
      </c>
    </row>
    <row r="77" spans="1:12" x14ac:dyDescent="0.25">
      <c r="A77" s="19" t="s">
        <v>798</v>
      </c>
      <c r="C77" s="44">
        <v>0.13619890000000001</v>
      </c>
      <c r="D77" s="44">
        <v>8.0243099999999998E-2</v>
      </c>
      <c r="E77" s="44">
        <v>0.14139650000000001</v>
      </c>
      <c r="F77" s="44">
        <v>6.5112100000000006E-2</v>
      </c>
      <c r="G77" s="44">
        <v>0.12130340000000001</v>
      </c>
      <c r="H77" s="44">
        <v>0.1106372</v>
      </c>
      <c r="I77" s="44">
        <v>0.16517709999999999</v>
      </c>
      <c r="J77" s="44">
        <v>7.0526400000000003E-2</v>
      </c>
      <c r="K77" s="44">
        <v>0.1064527</v>
      </c>
      <c r="L77" s="44">
        <v>7.9772800000000005E-2</v>
      </c>
    </row>
    <row r="78" spans="1:12" x14ac:dyDescent="0.25">
      <c r="A78" s="19" t="s">
        <v>808</v>
      </c>
      <c r="C78" s="44">
        <v>0.22615959999999999</v>
      </c>
      <c r="D78" s="44">
        <v>0.27507300000000001</v>
      </c>
      <c r="E78" s="44">
        <v>0.22813600000000001</v>
      </c>
      <c r="F78" s="44">
        <v>0.26766830000000003</v>
      </c>
      <c r="G78" s="44">
        <v>0.2314147</v>
      </c>
      <c r="H78" s="44">
        <v>0.33712039999999999</v>
      </c>
      <c r="I78" s="44">
        <v>0.2276</v>
      </c>
      <c r="J78" s="44">
        <v>0.23060820000000001</v>
      </c>
      <c r="K78" s="44">
        <v>0.20957410000000001</v>
      </c>
      <c r="L78" s="44">
        <v>0.32049879999999997</v>
      </c>
    </row>
    <row r="79" spans="1:12" x14ac:dyDescent="0.25">
      <c r="A79" s="19" t="s">
        <v>819</v>
      </c>
      <c r="C79" s="44">
        <v>0.18045079999999999</v>
      </c>
      <c r="D79" s="44">
        <v>0.144759</v>
      </c>
      <c r="E79" s="44">
        <v>0.1588908</v>
      </c>
      <c r="F79" s="44">
        <v>0.13884920000000001</v>
      </c>
      <c r="G79" s="44">
        <v>0.18191379999999999</v>
      </c>
      <c r="H79" s="44">
        <v>0.1694628</v>
      </c>
      <c r="I79" s="44">
        <v>0.1602508</v>
      </c>
      <c r="J79" s="44">
        <v>9.4205999999999998E-2</v>
      </c>
      <c r="K79" s="44">
        <v>0.14027400000000001</v>
      </c>
      <c r="L79" s="44">
        <v>0.18927069999999999</v>
      </c>
    </row>
    <row r="80" spans="1:12" x14ac:dyDescent="0.25">
      <c r="A80" s="19" t="s">
        <v>511</v>
      </c>
      <c r="C80" s="44">
        <v>0.16459219999999999</v>
      </c>
      <c r="D80" s="44">
        <v>0.17728530000000001</v>
      </c>
      <c r="E80" s="44">
        <v>0.13718240000000001</v>
      </c>
      <c r="F80" s="44">
        <v>0.1375837</v>
      </c>
      <c r="G80" s="44">
        <v>0.1948135</v>
      </c>
      <c r="H80" s="44">
        <v>0.21646070000000001</v>
      </c>
      <c r="I80" s="44">
        <v>0.14062820000000001</v>
      </c>
      <c r="J80" s="44">
        <v>0.13541819999999999</v>
      </c>
      <c r="K80" s="44">
        <v>0.12853629999999999</v>
      </c>
      <c r="L80" s="44">
        <v>0.1404936</v>
      </c>
    </row>
    <row r="81" spans="1:14" x14ac:dyDescent="0.25">
      <c r="A81" s="19" t="s">
        <v>522</v>
      </c>
      <c r="C81" s="44">
        <v>1.9841299999999999E-2</v>
      </c>
      <c r="D81" s="44">
        <v>0.1095674</v>
      </c>
      <c r="E81" s="44">
        <v>6.1612999999999998E-3</v>
      </c>
      <c r="F81" s="44">
        <v>6.5294400000000002E-2</v>
      </c>
      <c r="G81" s="44">
        <v>3.9536799999999997E-2</v>
      </c>
      <c r="H81" s="44">
        <v>0.1702805</v>
      </c>
      <c r="I81" s="44">
        <v>3.2371999999999998E-2</v>
      </c>
      <c r="J81" s="44">
        <v>7.59494E-2</v>
      </c>
      <c r="K81" s="44">
        <v>-2.4352800000000001E-2</v>
      </c>
      <c r="L81" s="44">
        <v>5.3689800000000003E-2</v>
      </c>
    </row>
    <row r="82" spans="1:14" x14ac:dyDescent="0.25">
      <c r="A82" s="19" t="s">
        <v>649</v>
      </c>
      <c r="C82" s="44">
        <v>0.1298513</v>
      </c>
      <c r="D82" s="44">
        <v>0.1165698</v>
      </c>
      <c r="E82" s="44">
        <v>0.123192</v>
      </c>
      <c r="F82" s="44">
        <v>0.101282</v>
      </c>
      <c r="G82" s="44">
        <v>0.17666799999999999</v>
      </c>
      <c r="H82" s="44">
        <v>0.14829700000000001</v>
      </c>
      <c r="I82" s="44">
        <v>0.1656628</v>
      </c>
      <c r="J82" s="44">
        <v>0.11619500000000001</v>
      </c>
      <c r="K82" s="44">
        <v>8.9733999999999994E-2</v>
      </c>
      <c r="L82" s="44">
        <v>8.6830900000000003E-2</v>
      </c>
    </row>
    <row r="83" spans="1:14" x14ac:dyDescent="0.25">
      <c r="A83" s="19" t="s">
        <v>659</v>
      </c>
      <c r="C83" s="44">
        <v>0.14125550000000001</v>
      </c>
      <c r="D83" s="44">
        <v>0.1048297</v>
      </c>
      <c r="E83" s="44">
        <v>0.14105719999999999</v>
      </c>
      <c r="F83" s="44">
        <v>0.1092726</v>
      </c>
      <c r="G83" s="44">
        <v>0.1614911</v>
      </c>
      <c r="H83" s="44">
        <v>0.1234088</v>
      </c>
      <c r="I83" s="44">
        <v>0.15863759999999999</v>
      </c>
      <c r="J83" s="44">
        <v>9.9111199999999997E-2</v>
      </c>
      <c r="K83" s="44">
        <v>0.13547899999999999</v>
      </c>
      <c r="L83" s="44">
        <v>0.1187536</v>
      </c>
    </row>
    <row r="84" spans="1:14" x14ac:dyDescent="0.25">
      <c r="A84" s="19" t="s">
        <v>670</v>
      </c>
      <c r="C84" s="44">
        <v>-3.1657999999999999E-3</v>
      </c>
      <c r="D84" s="44">
        <v>-2.3007199999999998E-2</v>
      </c>
      <c r="E84" s="44">
        <v>5.8659999999999997E-3</v>
      </c>
      <c r="F84" s="44">
        <v>-1.12852E-2</v>
      </c>
      <c r="G84" s="44">
        <v>-1.0583000000000001E-3</v>
      </c>
      <c r="H84" s="44">
        <v>-2.3463700000000001E-2</v>
      </c>
      <c r="I84" s="44">
        <v>2.6670300000000001E-2</v>
      </c>
      <c r="J84" s="44">
        <v>2.13677E-2</v>
      </c>
      <c r="K84" s="44">
        <v>-1.5844799999999999E-2</v>
      </c>
      <c r="L84" s="44">
        <v>-6.0317999999999997E-2</v>
      </c>
    </row>
    <row r="85" spans="1:14" x14ac:dyDescent="0.25">
      <c r="A85" s="65" t="s">
        <v>2395</v>
      </c>
      <c r="C85" s="44">
        <v>-3.860385</v>
      </c>
      <c r="D85" s="44">
        <v>-3.6313870000000001</v>
      </c>
      <c r="E85" s="44">
        <v>-4.2915029999999996</v>
      </c>
      <c r="F85" s="44">
        <v>-3.9697879999999999</v>
      </c>
      <c r="G85" s="44">
        <v>-4.8965240000000003</v>
      </c>
      <c r="H85" s="44">
        <v>-4.663513</v>
      </c>
      <c r="I85" s="44">
        <v>-5.1315049999999998</v>
      </c>
      <c r="J85" s="44">
        <v>-4.629874</v>
      </c>
      <c r="K85" s="44">
        <v>-4.800802</v>
      </c>
      <c r="L85" s="44">
        <v>-4.6830480000000003</v>
      </c>
    </row>
    <row r="86" spans="1:14" ht="74.25" customHeight="1" x14ac:dyDescent="0.25">
      <c r="A86" s="239" t="s">
        <v>3170</v>
      </c>
      <c r="B86" s="239"/>
      <c r="C86" s="239"/>
      <c r="D86" s="239"/>
      <c r="E86" s="239"/>
      <c r="F86" s="239"/>
      <c r="G86" s="239"/>
      <c r="H86" s="239"/>
      <c r="I86" s="239"/>
      <c r="J86" s="239"/>
      <c r="K86" s="239"/>
      <c r="L86" s="239"/>
      <c r="M86" s="186"/>
      <c r="N86" s="186"/>
    </row>
    <row r="87" spans="1:14" x14ac:dyDescent="0.25">
      <c r="A87" s="33" t="s">
        <v>3140</v>
      </c>
      <c r="B87" s="65"/>
      <c r="C87" s="44">
        <v>0.99939999999999996</v>
      </c>
      <c r="D87" s="118">
        <v>0.99850000000000005</v>
      </c>
      <c r="E87" s="44">
        <v>0.99929999999999997</v>
      </c>
      <c r="F87" s="44">
        <v>0.99809999999999999</v>
      </c>
      <c r="G87" s="44">
        <v>0.99939999999999996</v>
      </c>
      <c r="H87" s="44">
        <v>0.99890000000000001</v>
      </c>
      <c r="I87" s="44">
        <v>0.99929999999999997</v>
      </c>
      <c r="J87" s="44">
        <v>0.99809999999999999</v>
      </c>
      <c r="K87" s="44">
        <v>0.99919999999999998</v>
      </c>
      <c r="L87" s="44">
        <v>0.99809999999999999</v>
      </c>
    </row>
    <row r="88" spans="1:14" x14ac:dyDescent="0.25">
      <c r="E88" s="44"/>
      <c r="F88" s="118"/>
      <c r="G88" s="44"/>
      <c r="H88" s="44"/>
      <c r="I88" s="44"/>
      <c r="J88" s="44"/>
      <c r="K88" s="44"/>
      <c r="L88" s="44"/>
      <c r="M88" s="44"/>
      <c r="N88" s="44"/>
    </row>
    <row r="89" spans="1:14" x14ac:dyDescent="0.25">
      <c r="A89" s="65" t="s">
        <v>3169</v>
      </c>
      <c r="B89" s="65"/>
      <c r="C89" s="65"/>
      <c r="D89" s="65"/>
      <c r="E89" s="44"/>
      <c r="F89" s="118"/>
      <c r="G89" s="44"/>
      <c r="H89" s="44"/>
      <c r="I89" s="44"/>
      <c r="J89" s="44"/>
      <c r="K89" s="44"/>
      <c r="L89" s="44"/>
      <c r="M89" s="44"/>
      <c r="N89" s="44"/>
    </row>
    <row r="90" spans="1:14" x14ac:dyDescent="0.25">
      <c r="A90" s="65" t="s">
        <v>2397</v>
      </c>
      <c r="B90" s="65"/>
      <c r="C90" s="44">
        <v>1.0688</v>
      </c>
      <c r="D90" s="44">
        <v>1.0198</v>
      </c>
      <c r="E90" s="44">
        <v>1.0685</v>
      </c>
      <c r="F90" s="118">
        <v>1.0348999999999999</v>
      </c>
      <c r="G90" s="44">
        <v>1.0365</v>
      </c>
      <c r="H90" s="44">
        <v>1.0227999999999999</v>
      </c>
      <c r="I90" s="44">
        <v>1.0445</v>
      </c>
      <c r="J90" s="44">
        <v>1.0750999999999999</v>
      </c>
      <c r="K90" s="118">
        <v>1.0585</v>
      </c>
      <c r="L90" s="118">
        <v>1.0245</v>
      </c>
    </row>
    <row r="91" spans="1:14" x14ac:dyDescent="0.25">
      <c r="A91" s="65" t="s">
        <v>2396</v>
      </c>
      <c r="B91" s="65"/>
      <c r="C91" s="118">
        <v>0.98580000000000001</v>
      </c>
      <c r="D91" s="118">
        <v>0.98950000000000005</v>
      </c>
      <c r="E91" s="118">
        <v>0.99080000000000001</v>
      </c>
      <c r="F91" s="118">
        <v>0.99080000000000001</v>
      </c>
      <c r="G91" s="118">
        <v>0.9718</v>
      </c>
      <c r="H91" s="118">
        <v>0.98240000000000005</v>
      </c>
      <c r="I91" s="118">
        <v>0.98899999999999999</v>
      </c>
      <c r="J91" s="118">
        <v>0.99099999999999999</v>
      </c>
      <c r="K91" s="118">
        <v>0.98960000000000004</v>
      </c>
      <c r="L91" s="118">
        <v>0.99009999999999998</v>
      </c>
    </row>
  </sheetData>
  <mergeCells count="21">
    <mergeCell ref="E3:N3"/>
    <mergeCell ref="E4:F4"/>
    <mergeCell ref="G4:H4"/>
    <mergeCell ref="I4:J4"/>
    <mergeCell ref="K4:L4"/>
    <mergeCell ref="M4:N4"/>
    <mergeCell ref="A86:L86"/>
    <mergeCell ref="K19:L19"/>
    <mergeCell ref="B49:B50"/>
    <mergeCell ref="A53:A54"/>
    <mergeCell ref="C53:D53"/>
    <mergeCell ref="E53:F53"/>
    <mergeCell ref="G53:H53"/>
    <mergeCell ref="I53:J53"/>
    <mergeCell ref="K53:L53"/>
    <mergeCell ref="A19:A20"/>
    <mergeCell ref="B19:B20"/>
    <mergeCell ref="C19:D19"/>
    <mergeCell ref="E19:F19"/>
    <mergeCell ref="G19:H19"/>
    <mergeCell ref="I19:J19"/>
  </mergeCells>
  <pageMargins left="0.25" right="0.25" top="0.75" bottom="0.75" header="0.3" footer="0.3"/>
  <pageSetup scale="88" orientation="landscape" horizontalDpi="1200" verticalDpi="1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9159E-3041-4D4C-8343-AB246816D9E7}">
  <sheetPr>
    <pageSetUpPr fitToPage="1"/>
  </sheetPr>
  <dimension ref="A1:N77"/>
  <sheetViews>
    <sheetView topLeftCell="A46" workbookViewId="0">
      <selection activeCell="A16" sqref="A16:A17"/>
    </sheetView>
  </sheetViews>
  <sheetFormatPr defaultColWidth="8.85546875" defaultRowHeight="15" x14ac:dyDescent="0.25"/>
  <cols>
    <col min="1" max="1" width="48.42578125" style="33" customWidth="1"/>
    <col min="2" max="2" width="23.85546875" style="33" customWidth="1"/>
    <col min="3" max="3" width="11.5703125" style="33" customWidth="1"/>
    <col min="4" max="12" width="11.42578125" style="33" customWidth="1"/>
    <col min="13" max="14" width="11.140625" style="33" customWidth="1"/>
    <col min="15" max="16384" width="8.85546875" style="33"/>
  </cols>
  <sheetData>
    <row r="1" spans="1:14" x14ac:dyDescent="0.25">
      <c r="A1" s="65" t="s">
        <v>3151</v>
      </c>
      <c r="B1" s="65"/>
      <c r="C1" s="65"/>
      <c r="D1" s="65"/>
    </row>
    <row r="2" spans="1:14" ht="15.75" thickBot="1" x14ac:dyDescent="0.3">
      <c r="A2" s="65"/>
      <c r="B2" s="65"/>
      <c r="C2" s="65"/>
      <c r="D2" s="65"/>
    </row>
    <row r="3" spans="1:14" x14ac:dyDescent="0.25">
      <c r="A3" s="166" t="s">
        <v>3108</v>
      </c>
      <c r="B3" s="167" t="s">
        <v>3082</v>
      </c>
      <c r="C3" s="168" t="s">
        <v>3107</v>
      </c>
      <c r="D3" s="65"/>
      <c r="E3" s="241" t="s">
        <v>3152</v>
      </c>
      <c r="F3" s="242"/>
      <c r="G3" s="242"/>
      <c r="H3" s="242"/>
      <c r="I3" s="242"/>
      <c r="J3" s="242"/>
      <c r="K3" s="242"/>
      <c r="L3" s="242"/>
      <c r="M3" s="242"/>
      <c r="N3" s="243"/>
    </row>
    <row r="4" spans="1:14" x14ac:dyDescent="0.25">
      <c r="A4" s="169" t="s">
        <v>3112</v>
      </c>
      <c r="B4" s="33" t="s">
        <v>3083</v>
      </c>
      <c r="C4" s="170">
        <v>50</v>
      </c>
      <c r="D4" s="65"/>
      <c r="E4" s="244" t="s">
        <v>35</v>
      </c>
      <c r="F4" s="192"/>
      <c r="G4" s="192" t="s">
        <v>36</v>
      </c>
      <c r="H4" s="192"/>
      <c r="I4" s="192" t="s">
        <v>327</v>
      </c>
      <c r="J4" s="192"/>
      <c r="K4" s="192" t="s">
        <v>328</v>
      </c>
      <c r="L4" s="192"/>
      <c r="M4" s="192" t="s">
        <v>39</v>
      </c>
      <c r="N4" s="245"/>
    </row>
    <row r="5" spans="1:14" x14ac:dyDescent="0.25">
      <c r="A5" s="169" t="s">
        <v>3113</v>
      </c>
      <c r="B5" s="33" t="s">
        <v>3084</v>
      </c>
      <c r="C5" s="170">
        <v>200</v>
      </c>
      <c r="D5" s="65"/>
      <c r="E5" s="171" t="s">
        <v>330</v>
      </c>
      <c r="F5" s="124" t="s">
        <v>331</v>
      </c>
      <c r="G5" s="124" t="s">
        <v>330</v>
      </c>
      <c r="H5" s="124" t="s">
        <v>331</v>
      </c>
      <c r="I5" s="124" t="s">
        <v>330</v>
      </c>
      <c r="J5" s="124" t="s">
        <v>331</v>
      </c>
      <c r="K5" s="124" t="s">
        <v>330</v>
      </c>
      <c r="L5" s="124" t="s">
        <v>331</v>
      </c>
      <c r="M5" s="124" t="s">
        <v>330</v>
      </c>
      <c r="N5" s="172" t="s">
        <v>331</v>
      </c>
    </row>
    <row r="6" spans="1:14" ht="15.75" thickBot="1" x14ac:dyDescent="0.3">
      <c r="A6" s="169" t="s">
        <v>3114</v>
      </c>
      <c r="B6" s="33" t="s">
        <v>3085</v>
      </c>
      <c r="C6" s="170">
        <v>45</v>
      </c>
      <c r="D6" s="65"/>
      <c r="E6" s="173">
        <f t="shared" ref="E6:N6" si="0">C43</f>
        <v>0.52985038706357845</v>
      </c>
      <c r="F6" s="174">
        <f t="shared" si="0"/>
        <v>0.51439765490396694</v>
      </c>
      <c r="G6" s="174">
        <f t="shared" si="0"/>
        <v>0.35425519886904111</v>
      </c>
      <c r="H6" s="174">
        <f t="shared" si="0"/>
        <v>0.34859403842989151</v>
      </c>
      <c r="I6" s="174">
        <f t="shared" si="0"/>
        <v>0.38960226711066309</v>
      </c>
      <c r="J6" s="174">
        <f t="shared" si="0"/>
        <v>0.42359678935645462</v>
      </c>
      <c r="K6" s="174">
        <f t="shared" si="0"/>
        <v>0.1981816919586456</v>
      </c>
      <c r="L6" s="174">
        <f t="shared" si="0"/>
        <v>0.21573184674730136</v>
      </c>
      <c r="M6" s="174">
        <f t="shared" si="0"/>
        <v>0.22100434259063861</v>
      </c>
      <c r="N6" s="175">
        <f t="shared" si="0"/>
        <v>0.1973293803650176</v>
      </c>
    </row>
    <row r="7" spans="1:14" x14ac:dyDescent="0.25">
      <c r="A7" s="176" t="s">
        <v>3115</v>
      </c>
      <c r="B7" s="156" t="s">
        <v>3086</v>
      </c>
      <c r="C7" s="170">
        <v>160</v>
      </c>
      <c r="D7" s="65"/>
      <c r="E7" s="33" t="s">
        <v>3159</v>
      </c>
    </row>
    <row r="8" spans="1:14" x14ac:dyDescent="0.25">
      <c r="A8" s="169" t="s">
        <v>3087</v>
      </c>
      <c r="B8" s="177" t="s">
        <v>3088</v>
      </c>
      <c r="C8" s="170">
        <v>1</v>
      </c>
      <c r="D8" s="65"/>
    </row>
    <row r="9" spans="1:14" x14ac:dyDescent="0.25">
      <c r="A9" s="169" t="s">
        <v>3116</v>
      </c>
      <c r="B9" s="177" t="s">
        <v>3088</v>
      </c>
      <c r="C9" s="170">
        <v>0</v>
      </c>
      <c r="D9" s="65"/>
    </row>
    <row r="10" spans="1:14" ht="14.45" customHeight="1" x14ac:dyDescent="0.25">
      <c r="A10" s="178" t="s">
        <v>3117</v>
      </c>
      <c r="B10" s="156" t="s">
        <v>3118</v>
      </c>
      <c r="C10" s="170">
        <v>35</v>
      </c>
      <c r="D10" s="65"/>
      <c r="E10" s="118"/>
      <c r="F10" s="118"/>
      <c r="G10" s="118"/>
      <c r="H10" s="118"/>
      <c r="I10" s="118"/>
      <c r="J10" s="118"/>
      <c r="K10" s="118"/>
      <c r="L10" s="118"/>
      <c r="M10" s="118"/>
      <c r="N10" s="118"/>
    </row>
    <row r="11" spans="1:14" ht="14.45" customHeight="1" x14ac:dyDescent="0.25">
      <c r="A11" s="176" t="s">
        <v>3119</v>
      </c>
      <c r="B11" s="156" t="s">
        <v>3120</v>
      </c>
      <c r="C11" s="170">
        <v>90</v>
      </c>
      <c r="D11" s="65"/>
      <c r="E11" s="118"/>
      <c r="F11" s="118"/>
      <c r="G11" s="118"/>
      <c r="H11" s="118"/>
      <c r="I11" s="118"/>
      <c r="J11" s="118"/>
      <c r="K11" s="118"/>
      <c r="L11" s="118"/>
      <c r="M11" s="118"/>
      <c r="N11" s="118"/>
    </row>
    <row r="12" spans="1:14" x14ac:dyDescent="0.25">
      <c r="A12" s="169" t="s">
        <v>3121</v>
      </c>
      <c r="B12" s="177" t="s">
        <v>3088</v>
      </c>
      <c r="C12" s="170">
        <v>1</v>
      </c>
      <c r="D12" s="65"/>
      <c r="E12" s="118"/>
      <c r="F12" s="118"/>
      <c r="G12" s="118"/>
      <c r="H12" s="118"/>
      <c r="I12" s="118"/>
      <c r="J12" s="118"/>
      <c r="K12" s="118"/>
      <c r="L12" s="118"/>
      <c r="M12" s="118"/>
      <c r="N12" s="118"/>
    </row>
    <row r="13" spans="1:14" ht="15.75" thickBot="1" x14ac:dyDescent="0.3">
      <c r="A13" s="179" t="s">
        <v>3089</v>
      </c>
      <c r="B13" s="180" t="s">
        <v>3088</v>
      </c>
      <c r="C13" s="181">
        <v>0</v>
      </c>
      <c r="D13" s="65"/>
      <c r="E13" s="118"/>
      <c r="F13" s="118"/>
      <c r="G13" s="118"/>
      <c r="H13" s="118"/>
      <c r="I13" s="118"/>
      <c r="J13" s="118"/>
      <c r="K13" s="118"/>
      <c r="L13" s="118"/>
      <c r="M13" s="118"/>
      <c r="N13" s="118"/>
    </row>
    <row r="14" spans="1:14" x14ac:dyDescent="0.25">
      <c r="A14" s="65"/>
      <c r="B14" s="65"/>
      <c r="C14" s="65"/>
      <c r="D14" s="65"/>
      <c r="E14" s="118"/>
      <c r="F14" s="118"/>
      <c r="G14" s="118"/>
      <c r="H14" s="118"/>
      <c r="I14" s="118"/>
      <c r="J14" s="118"/>
      <c r="K14" s="118"/>
      <c r="L14" s="118"/>
      <c r="M14" s="118"/>
      <c r="N14" s="118"/>
    </row>
    <row r="15" spans="1:14" x14ac:dyDescent="0.25">
      <c r="A15" s="65" t="s">
        <v>3122</v>
      </c>
      <c r="B15" s="65"/>
      <c r="C15" s="65"/>
      <c r="D15" s="65"/>
      <c r="E15" s="118"/>
      <c r="F15" s="118"/>
      <c r="G15" s="118"/>
      <c r="H15" s="118"/>
      <c r="I15" s="118"/>
      <c r="J15" s="118"/>
      <c r="K15" s="118"/>
      <c r="L15" s="118"/>
      <c r="M15" s="118"/>
      <c r="N15" s="118"/>
    </row>
    <row r="16" spans="1:14" ht="15" customHeight="1" x14ac:dyDescent="0.25">
      <c r="A16" s="236" t="s">
        <v>3168</v>
      </c>
      <c r="B16" s="236" t="s">
        <v>3109</v>
      </c>
      <c r="C16" s="192" t="s">
        <v>35</v>
      </c>
      <c r="D16" s="192"/>
      <c r="E16" s="192" t="s">
        <v>36</v>
      </c>
      <c r="F16" s="192"/>
      <c r="G16" s="192" t="s">
        <v>327</v>
      </c>
      <c r="H16" s="192"/>
      <c r="I16" s="192" t="s">
        <v>328</v>
      </c>
      <c r="J16" s="192"/>
      <c r="K16" s="192" t="s">
        <v>39</v>
      </c>
      <c r="L16" s="192"/>
    </row>
    <row r="17" spans="1:12" x14ac:dyDescent="0.25">
      <c r="A17" s="236"/>
      <c r="B17" s="236"/>
      <c r="C17" s="124" t="s">
        <v>330</v>
      </c>
      <c r="D17" s="124" t="s">
        <v>331</v>
      </c>
      <c r="E17" s="124" t="s">
        <v>330</v>
      </c>
      <c r="F17" s="124" t="s">
        <v>331</v>
      </c>
      <c r="G17" s="124" t="s">
        <v>330</v>
      </c>
      <c r="H17" s="124" t="s">
        <v>331</v>
      </c>
      <c r="I17" s="124" t="s">
        <v>330</v>
      </c>
      <c r="J17" s="124" t="s">
        <v>331</v>
      </c>
      <c r="K17" s="124" t="s">
        <v>330</v>
      </c>
      <c r="L17" s="124" t="s">
        <v>331</v>
      </c>
    </row>
    <row r="18" spans="1:12" x14ac:dyDescent="0.25">
      <c r="A18" s="33" t="s">
        <v>3123</v>
      </c>
      <c r="B18" s="177">
        <f>IF(AND(C4&gt;=30,C4&lt;80),(C4-55)/10, "out of range")</f>
        <v>-0.5</v>
      </c>
      <c r="C18" s="177">
        <f t="shared" ref="C18:L33" si="1">$B18*C48</f>
        <v>-0.27515394999999998</v>
      </c>
      <c r="D18" s="177">
        <f t="shared" si="1"/>
        <v>-0.23136545</v>
      </c>
      <c r="E18" s="177">
        <f t="shared" si="1"/>
        <v>-0.2334601</v>
      </c>
      <c r="F18" s="177">
        <f t="shared" si="1"/>
        <v>-0.19970494999999999</v>
      </c>
      <c r="G18" s="177">
        <f t="shared" si="1"/>
        <v>-0.31271870000000002</v>
      </c>
      <c r="H18" s="177">
        <f t="shared" si="1"/>
        <v>-0.28407705</v>
      </c>
      <c r="I18" s="177">
        <f t="shared" si="1"/>
        <v>-0.24562115000000001</v>
      </c>
      <c r="J18" s="177">
        <f t="shared" si="1"/>
        <v>-0.20856045000000001</v>
      </c>
      <c r="K18" s="177">
        <f t="shared" si="1"/>
        <v>-0.21834890000000001</v>
      </c>
      <c r="L18" s="177">
        <f t="shared" si="1"/>
        <v>-0.2001724</v>
      </c>
    </row>
    <row r="19" spans="1:12" x14ac:dyDescent="0.25">
      <c r="A19" s="33" t="s">
        <v>3153</v>
      </c>
      <c r="B19" s="10">
        <f>B18^2</f>
        <v>0.25</v>
      </c>
      <c r="C19" s="177">
        <f t="shared" si="1"/>
        <v>-2.3209225E-2</v>
      </c>
      <c r="D19" s="177">
        <f t="shared" si="1"/>
        <v>-2.4607025000000001E-2</v>
      </c>
      <c r="E19" s="177">
        <f t="shared" si="1"/>
        <v>-2.2327949999999999E-2</v>
      </c>
      <c r="F19" s="177">
        <f t="shared" si="1"/>
        <v>-2.3437099999999999E-2</v>
      </c>
      <c r="G19" s="177">
        <f t="shared" si="1"/>
        <v>-2.4575949999999999E-2</v>
      </c>
      <c r="H19" s="177">
        <f t="shared" si="1"/>
        <v>-2.6209699999999999E-2</v>
      </c>
      <c r="I19" s="177">
        <f t="shared" si="1"/>
        <v>-2.2926950000000001E-2</v>
      </c>
      <c r="J19" s="177">
        <f t="shared" si="1"/>
        <v>-2.3749849999999999E-2</v>
      </c>
      <c r="K19" s="177">
        <f t="shared" si="1"/>
        <v>-2.1841824999999999E-2</v>
      </c>
      <c r="L19" s="177">
        <f t="shared" si="1"/>
        <v>-2.3398175E-2</v>
      </c>
    </row>
    <row r="20" spans="1:12" x14ac:dyDescent="0.25">
      <c r="A20" s="33" t="s">
        <v>3124</v>
      </c>
      <c r="B20" s="177">
        <f>IF(AND(C5&gt;=130,C5&lt;=320,C6&gt;=20,C6&lt;=100),(C5-C6)*0.02586-3.5,"out of range")</f>
        <v>0.5083000000000002</v>
      </c>
      <c r="C20" s="177">
        <f t="shared" si="1"/>
        <v>2.0829829020000006E-2</v>
      </c>
      <c r="D20" s="177">
        <f t="shared" si="1"/>
        <v>4.2498353040000013E-2</v>
      </c>
      <c r="E20" s="177">
        <f t="shared" si="1"/>
        <v>6.388827783000002E-2</v>
      </c>
      <c r="F20" s="177">
        <f t="shared" si="1"/>
        <v>8.8680203690000028E-2</v>
      </c>
      <c r="G20" s="177">
        <f t="shared" si="1"/>
        <v>0</v>
      </c>
      <c r="H20" s="177">
        <f t="shared" si="1"/>
        <v>0</v>
      </c>
      <c r="I20" s="177">
        <f t="shared" si="1"/>
        <v>9.5471752480000047E-2</v>
      </c>
      <c r="J20" s="177">
        <f t="shared" si="1"/>
        <v>0.13479673779000007</v>
      </c>
      <c r="K20" s="177">
        <f t="shared" si="1"/>
        <v>2.9803357220000014E-2</v>
      </c>
      <c r="L20" s="177">
        <f t="shared" si="1"/>
        <v>1.5727767770000008E-2</v>
      </c>
    </row>
    <row r="21" spans="1:12" x14ac:dyDescent="0.25">
      <c r="A21" s="33" t="s">
        <v>3125</v>
      </c>
      <c r="B21" s="177">
        <f>IF(AND(C6&gt;=20,C6&lt;=100),(C6*0.02586-1.3)/0.3,"out of range")</f>
        <v>-0.45433333333333364</v>
      </c>
      <c r="C21" s="177">
        <f t="shared" si="1"/>
        <v>7.5569535933333376E-2</v>
      </c>
      <c r="D21" s="177">
        <f t="shared" si="1"/>
        <v>4.6788337066666699E-2</v>
      </c>
      <c r="E21" s="177">
        <f t="shared" si="1"/>
        <v>7.0069785500000037E-2</v>
      </c>
      <c r="F21" s="177">
        <f t="shared" si="1"/>
        <v>5.4612229666666706E-2</v>
      </c>
      <c r="G21" s="177">
        <f t="shared" si="1"/>
        <v>0</v>
      </c>
      <c r="H21" s="177">
        <f t="shared" si="1"/>
        <v>0</v>
      </c>
      <c r="I21" s="177">
        <f t="shared" si="1"/>
        <v>9.248877296666673E-2</v>
      </c>
      <c r="J21" s="177">
        <f t="shared" si="1"/>
        <v>8.5389496600000059E-2</v>
      </c>
      <c r="K21" s="177">
        <f t="shared" si="1"/>
        <v>4.8568960266666697E-2</v>
      </c>
      <c r="L21" s="177">
        <f t="shared" si="1"/>
        <v>1.2755998966666675E-2</v>
      </c>
    </row>
    <row r="22" spans="1:12" x14ac:dyDescent="0.25">
      <c r="A22" s="33" t="s">
        <v>3090</v>
      </c>
      <c r="B22" s="177">
        <f>IF(AND(C7&gt;=90,C7&lt;=200),(MIN(C7,110)-110)/20,"out of range")</f>
        <v>0</v>
      </c>
      <c r="C22" s="177">
        <f t="shared" si="1"/>
        <v>0</v>
      </c>
      <c r="D22" s="177">
        <f t="shared" si="1"/>
        <v>0</v>
      </c>
      <c r="E22" s="177">
        <f t="shared" si="1"/>
        <v>0</v>
      </c>
      <c r="F22" s="177">
        <f t="shared" si="1"/>
        <v>0</v>
      </c>
      <c r="G22" s="177">
        <f t="shared" si="1"/>
        <v>0</v>
      </c>
      <c r="H22" s="177">
        <f t="shared" si="1"/>
        <v>0</v>
      </c>
      <c r="I22" s="177">
        <f t="shared" si="1"/>
        <v>0</v>
      </c>
      <c r="J22" s="177">
        <f t="shared" si="1"/>
        <v>0</v>
      </c>
      <c r="K22" s="177">
        <f t="shared" si="1"/>
        <v>0</v>
      </c>
      <c r="L22" s="177">
        <f t="shared" si="1"/>
        <v>0</v>
      </c>
    </row>
    <row r="23" spans="1:12" x14ac:dyDescent="0.25">
      <c r="A23" s="33" t="s">
        <v>3091</v>
      </c>
      <c r="B23" s="177">
        <f>IF(AND(C7&gt;=90,C7&lt;=200),(MAX(C7,110)-130)/20,"out of range")</f>
        <v>1.5</v>
      </c>
      <c r="C23" s="177">
        <f t="shared" si="1"/>
        <v>0.49492574999999994</v>
      </c>
      <c r="D23" s="177">
        <f t="shared" si="1"/>
        <v>0.43564874999999997</v>
      </c>
      <c r="E23" s="177">
        <f t="shared" si="1"/>
        <v>0.48442350000000001</v>
      </c>
      <c r="F23" s="177">
        <f t="shared" si="1"/>
        <v>0.41295554999999995</v>
      </c>
      <c r="G23" s="177">
        <f t="shared" si="1"/>
        <v>0.47134425000000002</v>
      </c>
      <c r="H23" s="177">
        <f t="shared" si="1"/>
        <v>0.45486000000000004</v>
      </c>
      <c r="I23" s="177">
        <f t="shared" si="1"/>
        <v>0.46676355000000003</v>
      </c>
      <c r="J23" s="177">
        <f t="shared" si="1"/>
        <v>0.38839650000000003</v>
      </c>
      <c r="K23" s="177">
        <f t="shared" si="1"/>
        <v>0.49091115000000002</v>
      </c>
      <c r="L23" s="177">
        <f t="shared" si="1"/>
        <v>0.43886009999999998</v>
      </c>
    </row>
    <row r="24" spans="1:12" x14ac:dyDescent="0.25">
      <c r="A24" s="33" t="s">
        <v>372</v>
      </c>
      <c r="B24" s="177">
        <f>IF(OR(C8=0,C8=1),C8,"out of range")</f>
        <v>1</v>
      </c>
      <c r="C24" s="177">
        <f t="shared" si="1"/>
        <v>0.67938940000000003</v>
      </c>
      <c r="D24" s="177">
        <f t="shared" si="1"/>
        <v>0.53312760000000003</v>
      </c>
      <c r="E24" s="177">
        <f t="shared" si="1"/>
        <v>0.62967070000000003</v>
      </c>
      <c r="F24" s="177">
        <f t="shared" si="1"/>
        <v>0.4790257</v>
      </c>
      <c r="G24" s="177">
        <f t="shared" si="1"/>
        <v>0.83307869999999995</v>
      </c>
      <c r="H24" s="177">
        <f t="shared" si="1"/>
        <v>0.68403380000000003</v>
      </c>
      <c r="I24" s="177">
        <f t="shared" si="1"/>
        <v>0.6803247</v>
      </c>
      <c r="J24" s="177">
        <f t="shared" si="1"/>
        <v>0.49564629999999998</v>
      </c>
      <c r="K24" s="177">
        <f t="shared" si="1"/>
        <v>0.58417260000000004</v>
      </c>
      <c r="L24" s="177">
        <f t="shared" si="1"/>
        <v>0.42368230000000001</v>
      </c>
    </row>
    <row r="25" spans="1:12" x14ac:dyDescent="0.25">
      <c r="A25" s="33" t="s">
        <v>3126</v>
      </c>
      <c r="B25" s="177">
        <f>IF(OR(C9=0,C9=1),C9,"out of range")</f>
        <v>0</v>
      </c>
      <c r="C25" s="177">
        <f t="shared" si="1"/>
        <v>0</v>
      </c>
      <c r="D25" s="177">
        <f t="shared" si="1"/>
        <v>0</v>
      </c>
      <c r="E25" s="177">
        <f t="shared" si="1"/>
        <v>0</v>
      </c>
      <c r="F25" s="177">
        <f t="shared" si="1"/>
        <v>0</v>
      </c>
      <c r="G25" s="177">
        <f t="shared" si="1"/>
        <v>0</v>
      </c>
      <c r="H25" s="177">
        <f t="shared" si="1"/>
        <v>0</v>
      </c>
      <c r="I25" s="177">
        <f t="shared" si="1"/>
        <v>0</v>
      </c>
      <c r="J25" s="177">
        <f t="shared" si="1"/>
        <v>0</v>
      </c>
      <c r="K25" s="177">
        <f t="shared" si="1"/>
        <v>0</v>
      </c>
      <c r="L25" s="177">
        <f t="shared" si="1"/>
        <v>0</v>
      </c>
    </row>
    <row r="26" spans="1:12" x14ac:dyDescent="0.25">
      <c r="A26" s="33" t="s">
        <v>3092</v>
      </c>
      <c r="B26" s="177">
        <f>IF(AND(C10&gt;=18.5,C10&lt;40),(MIN(C10,30)-25)/5,"out of range")</f>
        <v>1</v>
      </c>
      <c r="C26" s="177">
        <f t="shared" si="1"/>
        <v>0</v>
      </c>
      <c r="D26" s="177">
        <f t="shared" si="1"/>
        <v>0</v>
      </c>
      <c r="E26" s="177">
        <f t="shared" si="1"/>
        <v>0</v>
      </c>
      <c r="F26" s="177">
        <f t="shared" si="1"/>
        <v>0</v>
      </c>
      <c r="G26" s="177">
        <f t="shared" si="1"/>
        <v>5.9487400000000003E-2</v>
      </c>
      <c r="H26" s="177">
        <f t="shared" si="1"/>
        <v>8.3310700000000001E-2</v>
      </c>
      <c r="I26" s="177">
        <f t="shared" si="1"/>
        <v>0</v>
      </c>
      <c r="J26" s="177">
        <f t="shared" si="1"/>
        <v>0</v>
      </c>
      <c r="K26" s="177">
        <f t="shared" si="1"/>
        <v>0</v>
      </c>
      <c r="L26" s="177">
        <f t="shared" si="1"/>
        <v>0</v>
      </c>
    </row>
    <row r="27" spans="1:12" x14ac:dyDescent="0.25">
      <c r="A27" s="33" t="s">
        <v>3093</v>
      </c>
      <c r="B27" s="177">
        <f>IF(AND(C10&gt;=18.5,C10&lt;40),(MAX(C10,30)-30)/5,"out of range")</f>
        <v>1</v>
      </c>
      <c r="C27" s="177">
        <f t="shared" si="1"/>
        <v>0</v>
      </c>
      <c r="D27" s="177">
        <f t="shared" si="1"/>
        <v>0</v>
      </c>
      <c r="E27" s="177">
        <f t="shared" si="1"/>
        <v>0</v>
      </c>
      <c r="F27" s="177">
        <f t="shared" si="1"/>
        <v>0</v>
      </c>
      <c r="G27" s="177">
        <f t="shared" si="1"/>
        <v>0.25255359999999999</v>
      </c>
      <c r="H27" s="177">
        <f t="shared" si="1"/>
        <v>0.26999000000000001</v>
      </c>
      <c r="I27" s="177">
        <f t="shared" si="1"/>
        <v>0</v>
      </c>
      <c r="J27" s="177">
        <f t="shared" si="1"/>
        <v>0</v>
      </c>
      <c r="K27" s="177">
        <f t="shared" si="1"/>
        <v>0</v>
      </c>
      <c r="L27" s="177">
        <f t="shared" si="1"/>
        <v>0</v>
      </c>
    </row>
    <row r="28" spans="1:12" x14ac:dyDescent="0.25">
      <c r="A28" s="33" t="s">
        <v>3094</v>
      </c>
      <c r="B28" s="177">
        <f>IF(AND(C11&gt;=15,C11&lt;=150),(MIN(C11,60)-60)/-15,"out of range")</f>
        <v>0</v>
      </c>
      <c r="C28" s="177">
        <f t="shared" si="1"/>
        <v>0</v>
      </c>
      <c r="D28" s="177">
        <f t="shared" si="1"/>
        <v>0</v>
      </c>
      <c r="E28" s="177">
        <f t="shared" si="1"/>
        <v>0</v>
      </c>
      <c r="F28" s="177">
        <f t="shared" si="1"/>
        <v>0</v>
      </c>
      <c r="G28" s="177">
        <f t="shared" si="1"/>
        <v>0</v>
      </c>
      <c r="H28" s="177">
        <f t="shared" si="1"/>
        <v>0</v>
      </c>
      <c r="I28" s="177">
        <f t="shared" si="1"/>
        <v>0</v>
      </c>
      <c r="J28" s="177">
        <f t="shared" si="1"/>
        <v>0</v>
      </c>
      <c r="K28" s="177">
        <f t="shared" si="1"/>
        <v>0</v>
      </c>
      <c r="L28" s="177">
        <f t="shared" si="1"/>
        <v>0</v>
      </c>
    </row>
    <row r="29" spans="1:12" x14ac:dyDescent="0.25">
      <c r="A29" s="33" t="s">
        <v>3095</v>
      </c>
      <c r="B29" s="177">
        <f>IF(AND(C11&gt;=15,C11&lt;=150),(MAX(C11,60)-90)/-15,"out of range")</f>
        <v>0</v>
      </c>
      <c r="C29" s="177">
        <f t="shared" si="1"/>
        <v>0</v>
      </c>
      <c r="D29" s="177">
        <f t="shared" si="1"/>
        <v>0</v>
      </c>
      <c r="E29" s="177">
        <f t="shared" si="1"/>
        <v>0</v>
      </c>
      <c r="F29" s="177">
        <f t="shared" si="1"/>
        <v>0</v>
      </c>
      <c r="G29" s="177">
        <f t="shared" si="1"/>
        <v>0</v>
      </c>
      <c r="H29" s="177">
        <f t="shared" si="1"/>
        <v>0</v>
      </c>
      <c r="I29" s="177">
        <f t="shared" si="1"/>
        <v>0</v>
      </c>
      <c r="J29" s="177">
        <f t="shared" si="1"/>
        <v>0</v>
      </c>
      <c r="K29" s="177">
        <f t="shared" si="1"/>
        <v>0</v>
      </c>
      <c r="L29" s="177">
        <f t="shared" si="1"/>
        <v>0</v>
      </c>
    </row>
    <row r="30" spans="1:12" x14ac:dyDescent="0.25">
      <c r="A30" s="33" t="s">
        <v>3127</v>
      </c>
      <c r="B30" s="177">
        <f>IF(OR(C12=0,C12=1),C12,"out of range")</f>
        <v>1</v>
      </c>
      <c r="C30" s="177">
        <f t="shared" si="1"/>
        <v>0.28939999999999999</v>
      </c>
      <c r="D30" s="177">
        <f t="shared" si="1"/>
        <v>0.232714</v>
      </c>
      <c r="E30" s="177">
        <f t="shared" si="1"/>
        <v>0.18752920000000001</v>
      </c>
      <c r="F30" s="177">
        <f t="shared" si="1"/>
        <v>0.1421182</v>
      </c>
      <c r="G30" s="177">
        <f t="shared" si="1"/>
        <v>0.33392100000000002</v>
      </c>
      <c r="H30" s="177">
        <f t="shared" si="1"/>
        <v>0.25836310000000001</v>
      </c>
      <c r="I30" s="177">
        <f t="shared" si="1"/>
        <v>0.1561303</v>
      </c>
      <c r="J30" s="177">
        <f t="shared" si="1"/>
        <v>9.3919600000000006E-2</v>
      </c>
      <c r="K30" s="177">
        <f t="shared" si="1"/>
        <v>0.20878160000000001</v>
      </c>
      <c r="L30" s="177">
        <f t="shared" si="1"/>
        <v>0.16855139999999999</v>
      </c>
    </row>
    <row r="31" spans="1:12" x14ac:dyDescent="0.25">
      <c r="A31" s="33" t="s">
        <v>3128</v>
      </c>
      <c r="B31" s="177">
        <f>IF(OR(C13=0,C13=1),C13,"out of range")</f>
        <v>0</v>
      </c>
      <c r="C31" s="177">
        <f t="shared" si="1"/>
        <v>0</v>
      </c>
      <c r="D31" s="177">
        <f t="shared" si="1"/>
        <v>0</v>
      </c>
      <c r="E31" s="177">
        <f t="shared" si="1"/>
        <v>0</v>
      </c>
      <c r="F31" s="177">
        <f t="shared" si="1"/>
        <v>0</v>
      </c>
      <c r="G31" s="177">
        <f t="shared" si="1"/>
        <v>0</v>
      </c>
      <c r="H31" s="177">
        <f t="shared" si="1"/>
        <v>0</v>
      </c>
      <c r="I31" s="177">
        <f t="shared" si="1"/>
        <v>0</v>
      </c>
      <c r="J31" s="177">
        <f t="shared" si="1"/>
        <v>0</v>
      </c>
      <c r="K31" s="177">
        <f t="shared" si="1"/>
        <v>0</v>
      </c>
      <c r="L31" s="177">
        <f t="shared" si="1"/>
        <v>0</v>
      </c>
    </row>
    <row r="32" spans="1:12" x14ac:dyDescent="0.25">
      <c r="A32" s="33" t="s">
        <v>3129</v>
      </c>
      <c r="B32" s="177">
        <f>B23*B30</f>
        <v>1.5</v>
      </c>
      <c r="C32" s="177">
        <f t="shared" si="1"/>
        <v>-8.4550500000000001E-2</v>
      </c>
      <c r="D32" s="177">
        <f t="shared" si="1"/>
        <v>-5.7673199999999994E-2</v>
      </c>
      <c r="E32" s="177">
        <f t="shared" si="1"/>
        <v>-4.1418449999999996E-2</v>
      </c>
      <c r="F32" s="177">
        <f t="shared" si="1"/>
        <v>-3.2739749999999998E-2</v>
      </c>
      <c r="G32" s="177">
        <f t="shared" si="1"/>
        <v>-0.13397655</v>
      </c>
      <c r="H32" s="177">
        <f t="shared" si="1"/>
        <v>-5.8790700000000001E-2</v>
      </c>
      <c r="I32" s="177">
        <f t="shared" si="1"/>
        <v>-0.11932965000000001</v>
      </c>
      <c r="J32" s="177">
        <f t="shared" si="1"/>
        <v>-7.2903599999999999E-2</v>
      </c>
      <c r="K32" s="177">
        <f t="shared" si="1"/>
        <v>2.1654000000000001E-3</v>
      </c>
      <c r="L32" s="177">
        <f t="shared" si="1"/>
        <v>3.4506299999999997E-2</v>
      </c>
    </row>
    <row r="33" spans="1:12" x14ac:dyDescent="0.25">
      <c r="A33" s="33" t="s">
        <v>3130</v>
      </c>
      <c r="B33" s="177">
        <f>B20*B31</f>
        <v>0</v>
      </c>
      <c r="C33" s="177">
        <f t="shared" si="1"/>
        <v>0</v>
      </c>
      <c r="D33" s="177">
        <f t="shared" si="1"/>
        <v>0</v>
      </c>
      <c r="E33" s="177">
        <f t="shared" si="1"/>
        <v>0</v>
      </c>
      <c r="F33" s="177">
        <f t="shared" si="1"/>
        <v>0</v>
      </c>
      <c r="G33" s="177">
        <f t="shared" si="1"/>
        <v>0</v>
      </c>
      <c r="H33" s="177">
        <f t="shared" si="1"/>
        <v>0</v>
      </c>
      <c r="I33" s="177">
        <f t="shared" si="1"/>
        <v>0</v>
      </c>
      <c r="J33" s="177">
        <f t="shared" si="1"/>
        <v>0</v>
      </c>
      <c r="K33" s="177">
        <f t="shared" si="1"/>
        <v>0</v>
      </c>
      <c r="L33" s="177">
        <f t="shared" si="1"/>
        <v>0</v>
      </c>
    </row>
    <row r="34" spans="1:12" x14ac:dyDescent="0.25">
      <c r="A34" s="33" t="s">
        <v>3131</v>
      </c>
      <c r="B34" s="177">
        <f>B18*B20</f>
        <v>-0.2541500000000001</v>
      </c>
      <c r="C34" s="177">
        <f t="shared" ref="C34:L41" si="2">$B34*C64</f>
        <v>1.9097796770000005E-2</v>
      </c>
      <c r="D34" s="177">
        <f t="shared" si="2"/>
        <v>1.3006354985000006E-2</v>
      </c>
      <c r="E34" s="177">
        <f t="shared" si="2"/>
        <v>1.3265664230000005E-2</v>
      </c>
      <c r="F34" s="177">
        <f t="shared" si="2"/>
        <v>7.9452118850000045E-3</v>
      </c>
      <c r="G34" s="177">
        <f t="shared" si="2"/>
        <v>0</v>
      </c>
      <c r="H34" s="177">
        <f t="shared" si="2"/>
        <v>0</v>
      </c>
      <c r="I34" s="177">
        <f t="shared" si="2"/>
        <v>1.6206255975000007E-2</v>
      </c>
      <c r="J34" s="177">
        <f t="shared" si="2"/>
        <v>1.3555369815000004E-2</v>
      </c>
      <c r="K34" s="177">
        <f t="shared" si="2"/>
        <v>9.1946132850000035E-3</v>
      </c>
      <c r="L34" s="177">
        <f t="shared" si="2"/>
        <v>-3.6956205650000014E-3</v>
      </c>
    </row>
    <row r="35" spans="1:12" x14ac:dyDescent="0.25">
      <c r="A35" s="33" t="s">
        <v>3132</v>
      </c>
      <c r="B35" s="177">
        <f>B18*B21</f>
        <v>0.22716666666666682</v>
      </c>
      <c r="C35" s="177">
        <f t="shared" si="2"/>
        <v>6.8555719666666716E-3</v>
      </c>
      <c r="D35" s="177">
        <f t="shared" si="2"/>
        <v>3.7678999166666696E-3</v>
      </c>
      <c r="E35" s="177">
        <f t="shared" si="2"/>
        <v>7.1993205666666714E-3</v>
      </c>
      <c r="F35" s="177">
        <f t="shared" si="2"/>
        <v>4.6962165000000037E-3</v>
      </c>
      <c r="G35" s="177">
        <f t="shared" si="2"/>
        <v>0</v>
      </c>
      <c r="H35" s="177">
        <f t="shared" si="2"/>
        <v>0</v>
      </c>
      <c r="I35" s="177">
        <f t="shared" si="2"/>
        <v>1.0769381033333341E-2</v>
      </c>
      <c r="J35" s="177">
        <f t="shared" si="2"/>
        <v>1.0482037916666674E-2</v>
      </c>
      <c r="K35" s="177">
        <f t="shared" si="2"/>
        <v>3.6092240000000025E-3</v>
      </c>
      <c r="L35" s="177">
        <f t="shared" si="2"/>
        <v>-3.3985496333333357E-3</v>
      </c>
    </row>
    <row r="36" spans="1:12" x14ac:dyDescent="0.25">
      <c r="A36" s="33" t="s">
        <v>3096</v>
      </c>
      <c r="B36" s="177">
        <f>B18*B23</f>
        <v>-0.75</v>
      </c>
      <c r="C36" s="177">
        <f t="shared" si="2"/>
        <v>7.4908199999999994E-2</v>
      </c>
      <c r="D36" s="177">
        <f t="shared" si="2"/>
        <v>8.2607774999999994E-2</v>
      </c>
      <c r="E36" s="177">
        <f t="shared" si="2"/>
        <v>7.8457575000000002E-2</v>
      </c>
      <c r="F36" s="177">
        <f t="shared" si="2"/>
        <v>6.9070124999999996E-2</v>
      </c>
      <c r="G36" s="177">
        <f t="shared" si="2"/>
        <v>7.3072424999999996E-2</v>
      </c>
      <c r="H36" s="177">
        <f t="shared" si="2"/>
        <v>9.5184299999999999E-2</v>
      </c>
      <c r="I36" s="177">
        <f t="shared" si="2"/>
        <v>6.5736299999999998E-2</v>
      </c>
      <c r="J36" s="177">
        <f t="shared" si="2"/>
        <v>6.0917550000000001E-2</v>
      </c>
      <c r="K36" s="177">
        <f t="shared" si="2"/>
        <v>8.8429649999999999E-2</v>
      </c>
      <c r="L36" s="177">
        <f t="shared" si="2"/>
        <v>8.388509999999999E-2</v>
      </c>
    </row>
    <row r="37" spans="1:12" x14ac:dyDescent="0.25">
      <c r="A37" s="33" t="s">
        <v>3133</v>
      </c>
      <c r="B37" s="177">
        <f>B18*B24</f>
        <v>-0.5</v>
      </c>
      <c r="C37" s="177">
        <f t="shared" si="2"/>
        <v>0.16030829999999999</v>
      </c>
      <c r="D37" s="177">
        <f t="shared" si="2"/>
        <v>0.12929715</v>
      </c>
      <c r="E37" s="177">
        <f t="shared" si="2"/>
        <v>0.13638965</v>
      </c>
      <c r="F37" s="177">
        <f t="shared" si="2"/>
        <v>0.10799735000000001</v>
      </c>
      <c r="G37" s="177">
        <f t="shared" si="2"/>
        <v>0.20242750000000001</v>
      </c>
      <c r="H37" s="177">
        <f t="shared" si="2"/>
        <v>0.16367860000000001</v>
      </c>
      <c r="I37" s="177">
        <f t="shared" si="2"/>
        <v>0.14015495</v>
      </c>
      <c r="J37" s="177">
        <f t="shared" si="2"/>
        <v>0.1081575</v>
      </c>
      <c r="K37" s="177">
        <f t="shared" si="2"/>
        <v>0.13551104999999999</v>
      </c>
      <c r="L37" s="177">
        <f t="shared" si="2"/>
        <v>0.10764765</v>
      </c>
    </row>
    <row r="38" spans="1:12" x14ac:dyDescent="0.25">
      <c r="A38" s="33" t="s">
        <v>3134</v>
      </c>
      <c r="B38" s="177">
        <f>B18*B25</f>
        <v>0</v>
      </c>
      <c r="C38" s="177">
        <f t="shared" si="2"/>
        <v>0</v>
      </c>
      <c r="D38" s="177">
        <f t="shared" si="2"/>
        <v>0</v>
      </c>
      <c r="E38" s="177">
        <f t="shared" si="2"/>
        <v>0</v>
      </c>
      <c r="F38" s="177">
        <f t="shared" si="2"/>
        <v>0</v>
      </c>
      <c r="G38" s="177">
        <f t="shared" si="2"/>
        <v>0</v>
      </c>
      <c r="H38" s="177">
        <f t="shared" si="2"/>
        <v>0</v>
      </c>
      <c r="I38" s="177">
        <f t="shared" si="2"/>
        <v>0</v>
      </c>
      <c r="J38" s="177">
        <f t="shared" si="2"/>
        <v>0</v>
      </c>
      <c r="K38" s="177">
        <f t="shared" si="2"/>
        <v>0</v>
      </c>
      <c r="L38" s="177">
        <f t="shared" si="2"/>
        <v>0</v>
      </c>
    </row>
    <row r="39" spans="1:12" x14ac:dyDescent="0.25">
      <c r="A39" s="33" t="s">
        <v>3135</v>
      </c>
      <c r="B39" s="177">
        <f>B18*B27</f>
        <v>-0.5</v>
      </c>
      <c r="C39" s="177">
        <f t="shared" si="2"/>
        <v>0</v>
      </c>
      <c r="D39" s="177">
        <f t="shared" si="2"/>
        <v>0</v>
      </c>
      <c r="E39" s="177">
        <f t="shared" si="2"/>
        <v>0</v>
      </c>
      <c r="F39" s="177">
        <f t="shared" si="2"/>
        <v>0</v>
      </c>
      <c r="G39" s="177">
        <f t="shared" si="2"/>
        <v>1.7809499999999999E-3</v>
      </c>
      <c r="H39" s="177">
        <f t="shared" si="2"/>
        <v>9.14155E-3</v>
      </c>
      <c r="I39" s="177">
        <f t="shared" si="2"/>
        <v>0</v>
      </c>
      <c r="J39" s="177">
        <f t="shared" si="2"/>
        <v>0</v>
      </c>
      <c r="K39" s="177">
        <f t="shared" si="2"/>
        <v>0</v>
      </c>
      <c r="L39" s="177">
        <f t="shared" si="2"/>
        <v>0</v>
      </c>
    </row>
    <row r="40" spans="1:12" x14ac:dyDescent="0.25">
      <c r="A40" s="33" t="s">
        <v>3136</v>
      </c>
      <c r="B40" s="177">
        <f>B18*B28</f>
        <v>0</v>
      </c>
      <c r="C40" s="177">
        <f t="shared" si="2"/>
        <v>0</v>
      </c>
      <c r="D40" s="177">
        <f t="shared" si="2"/>
        <v>0</v>
      </c>
      <c r="E40" s="177">
        <f t="shared" si="2"/>
        <v>0</v>
      </c>
      <c r="F40" s="177">
        <f t="shared" si="2"/>
        <v>0</v>
      </c>
      <c r="G40" s="177">
        <f t="shared" si="2"/>
        <v>0</v>
      </c>
      <c r="H40" s="177">
        <f t="shared" si="2"/>
        <v>0</v>
      </c>
      <c r="I40" s="177">
        <f t="shared" si="2"/>
        <v>0</v>
      </c>
      <c r="J40" s="177">
        <f t="shared" si="2"/>
        <v>0</v>
      </c>
      <c r="K40" s="177">
        <f t="shared" si="2"/>
        <v>0</v>
      </c>
      <c r="L40" s="177">
        <f t="shared" si="2"/>
        <v>0</v>
      </c>
    </row>
    <row r="41" spans="1:12" x14ac:dyDescent="0.25">
      <c r="A41" s="33" t="s">
        <v>2395</v>
      </c>
      <c r="B41" s="177">
        <v>1</v>
      </c>
      <c r="C41" s="177">
        <f t="shared" si="2"/>
        <v>-1.318827</v>
      </c>
      <c r="D41" s="177">
        <f t="shared" si="2"/>
        <v>-1.148204</v>
      </c>
      <c r="E41" s="177">
        <f t="shared" si="2"/>
        <v>-1.9740740000000001</v>
      </c>
      <c r="F41" s="177">
        <f t="shared" si="2"/>
        <v>-1.7364440000000001</v>
      </c>
      <c r="G41" s="177">
        <f t="shared" si="2"/>
        <v>-2.2053790000000002</v>
      </c>
      <c r="H41" s="177">
        <f t="shared" si="2"/>
        <v>-1.9575100000000001</v>
      </c>
      <c r="I41" s="177">
        <f t="shared" si="2"/>
        <v>-2.7338659999999999</v>
      </c>
      <c r="J41" s="177">
        <f t="shared" si="2"/>
        <v>-2.3767619999999998</v>
      </c>
      <c r="K41" s="177">
        <f t="shared" si="2"/>
        <v>-2.6207799999999999</v>
      </c>
      <c r="L41" s="177">
        <f t="shared" si="2"/>
        <v>-2.4580220000000002</v>
      </c>
    </row>
    <row r="42" spans="1:12" ht="14.45" customHeight="1" x14ac:dyDescent="0.25">
      <c r="A42" s="65" t="s">
        <v>3098</v>
      </c>
      <c r="B42" s="240" t="s">
        <v>3097</v>
      </c>
      <c r="C42" s="177">
        <f t="shared" ref="C42:L42" si="3">SUM(C18:C41)</f>
        <v>0.11954370869000019</v>
      </c>
      <c r="D42" s="177">
        <f t="shared" si="3"/>
        <v>5.7606545008333621E-2</v>
      </c>
      <c r="E42" s="177">
        <f t="shared" si="3"/>
        <v>-0.60038682687333345</v>
      </c>
      <c r="F42" s="177">
        <f t="shared" si="3"/>
        <v>-0.62522501325833346</v>
      </c>
      <c r="G42" s="177">
        <f t="shared" si="3"/>
        <v>-0.44898437500000021</v>
      </c>
      <c r="H42" s="177">
        <f t="shared" si="3"/>
        <v>-0.30802540000000023</v>
      </c>
      <c r="I42" s="177">
        <f t="shared" si="3"/>
        <v>-1.3976977875449998</v>
      </c>
      <c r="J42" s="177">
        <f t="shared" si="3"/>
        <v>-1.290714807878333</v>
      </c>
      <c r="K42" s="177">
        <f t="shared" si="3"/>
        <v>-1.259823120228333</v>
      </c>
      <c r="L42" s="177">
        <f t="shared" si="3"/>
        <v>-1.4030701284616667</v>
      </c>
    </row>
    <row r="43" spans="1:12" x14ac:dyDescent="0.25">
      <c r="A43" s="183" t="s">
        <v>3099</v>
      </c>
      <c r="B43" s="240"/>
      <c r="C43" s="184">
        <f>EXP(C42)/(1+EXP(C42))</f>
        <v>0.52985038706357845</v>
      </c>
      <c r="D43" s="184">
        <f t="shared" ref="D43:L43" si="4">EXP(D42)/(1+EXP(D42))</f>
        <v>0.51439765490396694</v>
      </c>
      <c r="E43" s="184">
        <f t="shared" si="4"/>
        <v>0.35425519886904111</v>
      </c>
      <c r="F43" s="184">
        <f t="shared" si="4"/>
        <v>0.34859403842989151</v>
      </c>
      <c r="G43" s="184">
        <f t="shared" si="4"/>
        <v>0.38960226711066309</v>
      </c>
      <c r="H43" s="184">
        <f t="shared" si="4"/>
        <v>0.42359678935645462</v>
      </c>
      <c r="I43" s="184">
        <f t="shared" si="4"/>
        <v>0.1981816919586456</v>
      </c>
      <c r="J43" s="184">
        <f t="shared" si="4"/>
        <v>0.21573184674730136</v>
      </c>
      <c r="K43" s="184">
        <f t="shared" si="4"/>
        <v>0.22100434259063861</v>
      </c>
      <c r="L43" s="184">
        <f t="shared" si="4"/>
        <v>0.1973293803650176</v>
      </c>
    </row>
    <row r="44" spans="1:12" x14ac:dyDescent="0.25">
      <c r="A44" s="183"/>
      <c r="B44" s="182"/>
      <c r="C44" s="184"/>
      <c r="D44" s="184"/>
      <c r="E44" s="184"/>
      <c r="F44" s="184"/>
      <c r="G44" s="184"/>
      <c r="H44" s="184"/>
      <c r="I44" s="184"/>
      <c r="J44" s="184"/>
      <c r="K44" s="184"/>
      <c r="L44" s="184"/>
    </row>
    <row r="45" spans="1:12" x14ac:dyDescent="0.25">
      <c r="A45" s="185" t="s">
        <v>3137</v>
      </c>
      <c r="B45" s="182"/>
      <c r="C45" s="184"/>
      <c r="D45" s="184"/>
      <c r="E45" s="184"/>
      <c r="F45" s="184"/>
      <c r="G45" s="184"/>
      <c r="H45" s="184"/>
      <c r="I45" s="184"/>
      <c r="J45" s="184"/>
      <c r="K45" s="184"/>
      <c r="L45" s="184"/>
    </row>
    <row r="46" spans="1:12" x14ac:dyDescent="0.25">
      <c r="A46" s="236" t="s">
        <v>3138</v>
      </c>
      <c r="C46" s="192" t="s">
        <v>35</v>
      </c>
      <c r="D46" s="192"/>
      <c r="E46" s="192" t="s">
        <v>36</v>
      </c>
      <c r="F46" s="192"/>
      <c r="G46" s="192" t="s">
        <v>327</v>
      </c>
      <c r="H46" s="192"/>
      <c r="I46" s="192" t="s">
        <v>328</v>
      </c>
      <c r="J46" s="192"/>
      <c r="K46" s="192" t="s">
        <v>39</v>
      </c>
      <c r="L46" s="192"/>
    </row>
    <row r="47" spans="1:12" x14ac:dyDescent="0.25">
      <c r="A47" s="236"/>
      <c r="B47" s="65"/>
      <c r="C47" s="124" t="s">
        <v>330</v>
      </c>
      <c r="D47" s="124" t="s">
        <v>331</v>
      </c>
      <c r="E47" s="124" t="s">
        <v>330</v>
      </c>
      <c r="F47" s="124" t="s">
        <v>331</v>
      </c>
      <c r="G47" s="124" t="s">
        <v>330</v>
      </c>
      <c r="H47" s="124" t="s">
        <v>331</v>
      </c>
      <c r="I47" s="124" t="s">
        <v>330</v>
      </c>
      <c r="J47" s="124" t="s">
        <v>331</v>
      </c>
      <c r="K47" s="124" t="s">
        <v>330</v>
      </c>
      <c r="L47" s="124" t="s">
        <v>331</v>
      </c>
    </row>
    <row r="48" spans="1:12" x14ac:dyDescent="0.25">
      <c r="A48" s="65" t="s">
        <v>3081</v>
      </c>
      <c r="C48" s="44">
        <v>0.55030789999999996</v>
      </c>
      <c r="D48" s="44">
        <v>0.4627309</v>
      </c>
      <c r="E48" s="44">
        <v>0.46692020000000001</v>
      </c>
      <c r="F48" s="44">
        <v>0.39940989999999998</v>
      </c>
      <c r="G48" s="44">
        <v>0.62543740000000003</v>
      </c>
      <c r="H48" s="44">
        <v>0.5681541</v>
      </c>
      <c r="I48" s="44">
        <v>0.49124230000000002</v>
      </c>
      <c r="J48" s="44">
        <v>0.41712090000000002</v>
      </c>
      <c r="K48" s="44">
        <v>0.43669780000000002</v>
      </c>
      <c r="L48" s="44">
        <v>0.4003448</v>
      </c>
    </row>
    <row r="49" spans="1:12" x14ac:dyDescent="0.25">
      <c r="A49" s="19" t="s">
        <v>3080</v>
      </c>
      <c r="C49" s="44">
        <v>-9.28369E-2</v>
      </c>
      <c r="D49" s="44">
        <v>-9.8428100000000004E-2</v>
      </c>
      <c r="E49" s="44">
        <v>-8.9311799999999997E-2</v>
      </c>
      <c r="F49" s="44">
        <v>-9.3748399999999996E-2</v>
      </c>
      <c r="G49" s="44">
        <v>-9.8303799999999997E-2</v>
      </c>
      <c r="H49" s="44">
        <v>-0.1048388</v>
      </c>
      <c r="I49" s="44">
        <v>-9.1707800000000006E-2</v>
      </c>
      <c r="J49" s="44">
        <v>-9.4999399999999998E-2</v>
      </c>
      <c r="K49" s="44">
        <v>-8.7367299999999995E-2</v>
      </c>
      <c r="L49" s="44">
        <v>-9.3592700000000001E-2</v>
      </c>
    </row>
    <row r="50" spans="1:12" x14ac:dyDescent="0.25">
      <c r="A50" s="65" t="s">
        <v>332</v>
      </c>
      <c r="C50" s="44">
        <v>4.0979399999999999E-2</v>
      </c>
      <c r="D50" s="44">
        <v>8.3608799999999997E-2</v>
      </c>
      <c r="E50" s="44">
        <v>0.1256901</v>
      </c>
      <c r="F50" s="44">
        <v>0.17446429999999999</v>
      </c>
      <c r="G50" s="44"/>
      <c r="H50" s="44"/>
      <c r="I50" s="44">
        <v>0.18782560000000001</v>
      </c>
      <c r="J50" s="44">
        <v>0.26519130000000002</v>
      </c>
      <c r="K50" s="44">
        <v>5.8633400000000002E-2</v>
      </c>
      <c r="L50" s="44">
        <v>3.0941900000000001E-2</v>
      </c>
    </row>
    <row r="51" spans="1:12" x14ac:dyDescent="0.25">
      <c r="A51" s="65" t="s">
        <v>341</v>
      </c>
      <c r="C51" s="44">
        <v>-0.1663306</v>
      </c>
      <c r="D51" s="44">
        <v>-0.1029824</v>
      </c>
      <c r="E51" s="44">
        <v>-0.15422549999999999</v>
      </c>
      <c r="F51" s="44">
        <v>-0.120203</v>
      </c>
      <c r="G51" s="44"/>
      <c r="H51" s="44"/>
      <c r="I51" s="44">
        <v>-0.20357030000000001</v>
      </c>
      <c r="J51" s="44">
        <v>-0.18794459999999999</v>
      </c>
      <c r="K51" s="44">
        <v>-0.1069016</v>
      </c>
      <c r="L51" s="44">
        <v>-2.8076299999999998E-2</v>
      </c>
    </row>
    <row r="52" spans="1:12" x14ac:dyDescent="0.25">
      <c r="A52" s="65" t="s">
        <v>350</v>
      </c>
      <c r="C52" s="44">
        <v>-0.16286539999999999</v>
      </c>
      <c r="D52" s="44">
        <v>-0.21403520000000001</v>
      </c>
      <c r="E52" s="44">
        <v>-1.8093E-3</v>
      </c>
      <c r="F52" s="44">
        <v>-6.6511700000000007E-2</v>
      </c>
      <c r="G52" s="44">
        <v>-0.3919241</v>
      </c>
      <c r="H52" s="44">
        <v>-0.47615639999999998</v>
      </c>
      <c r="I52" s="44">
        <v>-3.0222000000000001E-3</v>
      </c>
      <c r="J52" s="44">
        <v>-9.71746E-2</v>
      </c>
      <c r="K52" s="44">
        <v>-3.1710599999999999E-2</v>
      </c>
      <c r="L52" s="44">
        <v>-4.7704000000000003E-2</v>
      </c>
    </row>
    <row r="53" spans="1:12" x14ac:dyDescent="0.25">
      <c r="A53" s="65" t="s">
        <v>361</v>
      </c>
      <c r="C53" s="44">
        <v>0.32995049999999998</v>
      </c>
      <c r="D53" s="44">
        <v>0.29043249999999998</v>
      </c>
      <c r="E53" s="44">
        <v>0.32294899999999999</v>
      </c>
      <c r="F53" s="44">
        <v>0.27530369999999998</v>
      </c>
      <c r="G53" s="44">
        <v>0.31422949999999999</v>
      </c>
      <c r="H53" s="44">
        <v>0.30324000000000001</v>
      </c>
      <c r="I53" s="44">
        <v>0.3111757</v>
      </c>
      <c r="J53" s="44">
        <v>0.25893100000000002</v>
      </c>
      <c r="K53" s="44">
        <v>0.32727410000000001</v>
      </c>
      <c r="L53" s="44">
        <v>0.29257339999999998</v>
      </c>
    </row>
    <row r="54" spans="1:12" x14ac:dyDescent="0.25">
      <c r="A54" s="65" t="s">
        <v>372</v>
      </c>
      <c r="C54" s="44">
        <v>0.67938940000000003</v>
      </c>
      <c r="D54" s="44">
        <v>0.53312760000000003</v>
      </c>
      <c r="E54" s="44">
        <v>0.62967070000000003</v>
      </c>
      <c r="F54" s="44">
        <v>0.4790257</v>
      </c>
      <c r="G54" s="44">
        <v>0.83307869999999995</v>
      </c>
      <c r="H54" s="44">
        <v>0.68403380000000003</v>
      </c>
      <c r="I54" s="44">
        <v>0.6803247</v>
      </c>
      <c r="J54" s="44">
        <v>0.49564629999999998</v>
      </c>
      <c r="K54" s="44">
        <v>0.58417260000000004</v>
      </c>
      <c r="L54" s="44">
        <v>0.42368230000000001</v>
      </c>
    </row>
    <row r="55" spans="1:12" ht="14.45" customHeight="1" x14ac:dyDescent="0.25">
      <c r="A55" s="65" t="s">
        <v>383</v>
      </c>
      <c r="C55" s="44">
        <v>0.31961119999999998</v>
      </c>
      <c r="D55" s="44">
        <v>0.2141914</v>
      </c>
      <c r="E55" s="44">
        <v>0.26829199999999997</v>
      </c>
      <c r="F55" s="44">
        <v>0.17826349999999999</v>
      </c>
      <c r="G55" s="44">
        <v>0.34386509999999998</v>
      </c>
      <c r="H55" s="44">
        <v>0.26562730000000001</v>
      </c>
      <c r="I55" s="44">
        <v>0.32153130000000002</v>
      </c>
      <c r="J55" s="44">
        <v>0.17288439999999999</v>
      </c>
      <c r="K55" s="44">
        <v>0.2045681</v>
      </c>
      <c r="L55" s="44">
        <v>0.1675238</v>
      </c>
    </row>
    <row r="56" spans="1:12" ht="14.45" customHeight="1" x14ac:dyDescent="0.25">
      <c r="A56" s="65" t="s">
        <v>393</v>
      </c>
      <c r="C56" s="44"/>
      <c r="D56" s="44"/>
      <c r="E56" s="44"/>
      <c r="F56" s="44"/>
      <c r="G56" s="44">
        <v>5.9487400000000003E-2</v>
      </c>
      <c r="H56" s="44">
        <v>8.3310700000000001E-2</v>
      </c>
      <c r="I56" s="44"/>
      <c r="J56" s="44"/>
      <c r="K56" s="44"/>
      <c r="L56" s="44"/>
    </row>
    <row r="57" spans="1:12" ht="14.45" customHeight="1" x14ac:dyDescent="0.25">
      <c r="A57" s="65" t="s">
        <v>396</v>
      </c>
      <c r="C57" s="44"/>
      <c r="D57" s="44"/>
      <c r="E57" s="44"/>
      <c r="F57" s="44"/>
      <c r="G57" s="44">
        <v>0.25255359999999999</v>
      </c>
      <c r="H57" s="44">
        <v>0.26999000000000001</v>
      </c>
      <c r="I57" s="44"/>
      <c r="J57" s="44"/>
      <c r="K57" s="44"/>
      <c r="L57" s="44"/>
    </row>
    <row r="58" spans="1:12" ht="14.45" customHeight="1" x14ac:dyDescent="0.25">
      <c r="A58" s="65" t="s">
        <v>399</v>
      </c>
      <c r="C58" s="44">
        <v>0.18571009999999999</v>
      </c>
      <c r="D58" s="44">
        <v>0.11555559999999999</v>
      </c>
      <c r="E58" s="44">
        <v>0.100106</v>
      </c>
      <c r="F58" s="44">
        <v>-2.18789E-2</v>
      </c>
      <c r="G58" s="44">
        <v>0.29816419999999999</v>
      </c>
      <c r="H58" s="44">
        <v>0.25418049999999998</v>
      </c>
      <c r="I58" s="44">
        <v>0.1252615</v>
      </c>
      <c r="J58" s="44">
        <v>-9.1955000000000005E-3</v>
      </c>
      <c r="K58" s="44">
        <v>7.6581200000000002E-2</v>
      </c>
      <c r="L58" s="44">
        <v>-9.2159999999999996E-4</v>
      </c>
    </row>
    <row r="59" spans="1:12" x14ac:dyDescent="0.25">
      <c r="A59" s="65" t="s">
        <v>410</v>
      </c>
      <c r="C59" s="44">
        <v>5.5352800000000001E-2</v>
      </c>
      <c r="D59" s="44">
        <v>6.0377500000000001E-2</v>
      </c>
      <c r="E59" s="44">
        <v>4.9966299999999998E-2</v>
      </c>
      <c r="F59" s="44">
        <v>6.0255299999999998E-2</v>
      </c>
      <c r="G59" s="44">
        <v>6.6715899999999995E-2</v>
      </c>
      <c r="H59" s="44">
        <v>6.3892299999999999E-2</v>
      </c>
      <c r="I59" s="44">
        <v>4.1457899999999999E-2</v>
      </c>
      <c r="J59" s="44">
        <v>5.7815499999999999E-2</v>
      </c>
      <c r="K59" s="44">
        <v>6.0322599999999997E-2</v>
      </c>
      <c r="L59" s="44">
        <v>5.75221E-2</v>
      </c>
    </row>
    <row r="60" spans="1:12" x14ac:dyDescent="0.25">
      <c r="A60" s="65" t="s">
        <v>420</v>
      </c>
      <c r="C60" s="44">
        <v>0.28939999999999999</v>
      </c>
      <c r="D60" s="44">
        <v>0.232714</v>
      </c>
      <c r="E60" s="44">
        <v>0.18752920000000001</v>
      </c>
      <c r="F60" s="44">
        <v>0.1421182</v>
      </c>
      <c r="G60" s="44">
        <v>0.33392100000000002</v>
      </c>
      <c r="H60" s="44">
        <v>0.25836310000000001</v>
      </c>
      <c r="I60" s="44">
        <v>0.1561303</v>
      </c>
      <c r="J60" s="44">
        <v>9.3919600000000006E-2</v>
      </c>
      <c r="K60" s="44">
        <v>0.20878160000000001</v>
      </c>
      <c r="L60" s="44">
        <v>0.16855139999999999</v>
      </c>
    </row>
    <row r="61" spans="1:12" ht="14.45" customHeight="1" x14ac:dyDescent="0.25">
      <c r="A61" s="65" t="s">
        <v>431</v>
      </c>
      <c r="C61" s="44">
        <v>-7.5688000000000005E-2</v>
      </c>
      <c r="D61" s="44">
        <v>-2.7211200000000001E-2</v>
      </c>
      <c r="E61" s="44">
        <v>1.52476E-2</v>
      </c>
      <c r="F61" s="44">
        <v>1.35996E-2</v>
      </c>
      <c r="G61" s="44"/>
      <c r="H61" s="44"/>
      <c r="I61" s="44">
        <v>3.8413799999999998E-2</v>
      </c>
      <c r="J61" s="44">
        <v>5.0892100000000003E-2</v>
      </c>
      <c r="K61" s="44">
        <v>-9.5136999999999999E-3</v>
      </c>
      <c r="L61" s="44">
        <v>-2.0829E-2</v>
      </c>
    </row>
    <row r="62" spans="1:12" ht="14.45" customHeight="1" x14ac:dyDescent="0.25">
      <c r="A62" s="65" t="s">
        <v>440</v>
      </c>
      <c r="C62" s="44">
        <v>-5.6367E-2</v>
      </c>
      <c r="D62" s="44">
        <v>-3.8448799999999998E-2</v>
      </c>
      <c r="E62" s="44">
        <v>-2.7612299999999999E-2</v>
      </c>
      <c r="F62" s="44">
        <v>-2.1826499999999999E-2</v>
      </c>
      <c r="G62" s="44">
        <v>-8.93177E-2</v>
      </c>
      <c r="H62" s="44">
        <v>-3.9193800000000001E-2</v>
      </c>
      <c r="I62" s="44">
        <v>-7.9553100000000002E-2</v>
      </c>
      <c r="J62" s="44">
        <v>-4.8602399999999997E-2</v>
      </c>
      <c r="K62" s="44">
        <v>1.4436E-3</v>
      </c>
      <c r="L62" s="44">
        <v>2.3004199999999999E-2</v>
      </c>
    </row>
    <row r="63" spans="1:12" x14ac:dyDescent="0.25">
      <c r="A63" s="65" t="s">
        <v>451</v>
      </c>
      <c r="C63" s="44">
        <v>0.1071019</v>
      </c>
      <c r="D63" s="44">
        <v>0.13419200000000001</v>
      </c>
      <c r="E63" s="44">
        <v>7.3614700000000005E-2</v>
      </c>
      <c r="F63" s="44">
        <v>0.1013148</v>
      </c>
      <c r="G63" s="44"/>
      <c r="H63" s="44"/>
      <c r="I63" s="44">
        <v>6.3526200000000005E-2</v>
      </c>
      <c r="J63" s="44">
        <v>6.6947800000000002E-2</v>
      </c>
      <c r="K63" s="44">
        <v>7.2001200000000001E-2</v>
      </c>
      <c r="L63" s="44">
        <v>0.1413652</v>
      </c>
    </row>
    <row r="64" spans="1:12" x14ac:dyDescent="0.25">
      <c r="A64" s="65" t="s">
        <v>460</v>
      </c>
      <c r="C64" s="44">
        <v>-7.5143799999999997E-2</v>
      </c>
      <c r="D64" s="44">
        <v>-5.1175900000000003E-2</v>
      </c>
      <c r="E64" s="44">
        <v>-5.2196199999999998E-2</v>
      </c>
      <c r="F64" s="44">
        <v>-3.1261900000000002E-2</v>
      </c>
      <c r="I64" s="44">
        <v>-6.3766500000000004E-2</v>
      </c>
      <c r="J64" s="44">
        <v>-5.3336099999999997E-2</v>
      </c>
      <c r="K64" s="44">
        <v>-3.6177899999999999E-2</v>
      </c>
      <c r="L64" s="44">
        <v>1.45411E-2</v>
      </c>
    </row>
    <row r="65" spans="1:14" x14ac:dyDescent="0.25">
      <c r="A65" s="65" t="s">
        <v>3079</v>
      </c>
      <c r="C65" s="44">
        <v>3.01786E-2</v>
      </c>
      <c r="D65" s="44">
        <v>1.6586500000000001E-2</v>
      </c>
      <c r="E65" s="44">
        <v>3.1691799999999999E-2</v>
      </c>
      <c r="F65" s="44">
        <v>2.0673E-2</v>
      </c>
      <c r="G65" s="44"/>
      <c r="H65" s="44"/>
      <c r="I65" s="44">
        <v>4.7407400000000002E-2</v>
      </c>
      <c r="J65" s="44">
        <v>4.6142500000000003E-2</v>
      </c>
      <c r="K65" s="44">
        <v>1.5887999999999999E-2</v>
      </c>
      <c r="L65" s="44">
        <v>-1.4960599999999999E-2</v>
      </c>
    </row>
    <row r="66" spans="1:14" x14ac:dyDescent="0.25">
      <c r="A66" s="65" t="s">
        <v>475</v>
      </c>
      <c r="C66" s="44">
        <v>-9.9877599999999997E-2</v>
      </c>
      <c r="D66" s="44">
        <v>-0.1101437</v>
      </c>
      <c r="E66" s="44">
        <v>-0.1046101</v>
      </c>
      <c r="F66" s="44">
        <v>-9.2093499999999995E-2</v>
      </c>
      <c r="G66" s="44">
        <v>-9.74299E-2</v>
      </c>
      <c r="H66" s="44">
        <v>-0.12691240000000001</v>
      </c>
      <c r="I66" s="44">
        <v>-8.7648400000000001E-2</v>
      </c>
      <c r="J66" s="44">
        <v>-8.1223400000000001E-2</v>
      </c>
      <c r="K66" s="44">
        <v>-0.1179062</v>
      </c>
      <c r="L66" s="44">
        <v>-0.1118468</v>
      </c>
    </row>
    <row r="67" spans="1:14" x14ac:dyDescent="0.25">
      <c r="A67" s="65" t="s">
        <v>481</v>
      </c>
      <c r="C67" s="44">
        <v>-0.32061659999999997</v>
      </c>
      <c r="D67" s="44">
        <v>-0.2585943</v>
      </c>
      <c r="E67" s="44">
        <v>-0.2727793</v>
      </c>
      <c r="F67" s="44">
        <v>-0.21599470000000001</v>
      </c>
      <c r="G67" s="44">
        <v>-0.40485500000000002</v>
      </c>
      <c r="H67" s="44">
        <v>-0.32735720000000001</v>
      </c>
      <c r="I67" s="44">
        <v>-0.2803099</v>
      </c>
      <c r="J67" s="44">
        <v>-0.21631500000000001</v>
      </c>
      <c r="K67" s="44">
        <v>-0.27102209999999999</v>
      </c>
      <c r="L67" s="44">
        <v>-0.2152953</v>
      </c>
    </row>
    <row r="68" spans="1:14" x14ac:dyDescent="0.25">
      <c r="A68" s="65" t="s">
        <v>492</v>
      </c>
      <c r="C68" s="44">
        <v>-0.16078619999999999</v>
      </c>
      <c r="D68" s="44">
        <v>-0.15664059999999999</v>
      </c>
      <c r="E68" s="44">
        <v>-0.1530907</v>
      </c>
      <c r="F68" s="44">
        <v>-0.15488109999999999</v>
      </c>
      <c r="G68" s="44">
        <v>-0.19829910000000001</v>
      </c>
      <c r="H68" s="44">
        <v>-0.20430190000000001</v>
      </c>
      <c r="I68" s="44">
        <v>-0.15136260000000001</v>
      </c>
      <c r="J68" s="44">
        <v>-0.17491970000000001</v>
      </c>
      <c r="K68" s="44">
        <v>-0.17028360000000001</v>
      </c>
      <c r="L68" s="44">
        <v>-0.13392950000000001</v>
      </c>
    </row>
    <row r="69" spans="1:14" x14ac:dyDescent="0.25">
      <c r="A69" s="65" t="s">
        <v>501</v>
      </c>
      <c r="E69" s="44"/>
      <c r="F69" s="44"/>
      <c r="G69" s="44">
        <v>-3.5618999999999998E-3</v>
      </c>
      <c r="H69" s="44">
        <v>-1.82831E-2</v>
      </c>
      <c r="I69" s="44"/>
      <c r="J69" s="44"/>
      <c r="K69" s="44"/>
      <c r="L69" s="44"/>
    </row>
    <row r="70" spans="1:14" x14ac:dyDescent="0.25">
      <c r="A70" s="65" t="s">
        <v>504</v>
      </c>
      <c r="C70" s="44">
        <v>-0.14507880000000001</v>
      </c>
      <c r="D70" s="44">
        <v>-0.11667760000000001</v>
      </c>
      <c r="E70" s="44">
        <v>-0.1299149</v>
      </c>
      <c r="F70" s="44">
        <v>-7.1254700000000004E-2</v>
      </c>
      <c r="G70" s="44">
        <v>-0.15642149999999999</v>
      </c>
      <c r="H70" s="44">
        <v>-0.13426179999999999</v>
      </c>
      <c r="I70" s="44">
        <v>-0.1130454</v>
      </c>
      <c r="J70" s="44">
        <v>-2.41467E-2</v>
      </c>
      <c r="K70" s="44">
        <v>-0.1320992</v>
      </c>
      <c r="L70" s="44">
        <v>-0.12250809999999999</v>
      </c>
    </row>
    <row r="71" spans="1:14" x14ac:dyDescent="0.25">
      <c r="A71" s="65" t="s">
        <v>2395</v>
      </c>
      <c r="C71" s="44">
        <v>-1.318827</v>
      </c>
      <c r="D71" s="44">
        <v>-1.148204</v>
      </c>
      <c r="E71" s="44">
        <v>-1.9740740000000001</v>
      </c>
      <c r="F71" s="44">
        <v>-1.7364440000000001</v>
      </c>
      <c r="G71" s="44">
        <v>-2.2053790000000002</v>
      </c>
      <c r="H71" s="44">
        <v>-1.9575100000000001</v>
      </c>
      <c r="I71" s="44">
        <v>-2.7338659999999999</v>
      </c>
      <c r="J71" s="44">
        <v>-2.3767619999999998</v>
      </c>
      <c r="K71" s="44">
        <v>-2.6207799999999999</v>
      </c>
      <c r="L71" s="44">
        <v>-2.4580220000000002</v>
      </c>
    </row>
    <row r="72" spans="1:14" ht="58.35" customHeight="1" x14ac:dyDescent="0.25">
      <c r="A72" s="239" t="s">
        <v>3139</v>
      </c>
      <c r="B72" s="239"/>
      <c r="C72" s="239"/>
      <c r="D72" s="239"/>
      <c r="E72" s="239"/>
      <c r="F72" s="239"/>
      <c r="G72" s="239"/>
      <c r="H72" s="239"/>
      <c r="I72" s="239"/>
      <c r="J72" s="239"/>
      <c r="K72" s="239"/>
      <c r="L72" s="239"/>
      <c r="M72" s="186"/>
      <c r="N72" s="186"/>
    </row>
    <row r="73" spans="1:14" x14ac:dyDescent="0.25">
      <c r="A73" s="33" t="s">
        <v>3140</v>
      </c>
      <c r="B73" s="65"/>
      <c r="C73" s="44">
        <v>0.99280000000000002</v>
      </c>
      <c r="D73" s="118">
        <v>0.97889999999999999</v>
      </c>
      <c r="E73" s="44">
        <v>0.99250000000000005</v>
      </c>
      <c r="F73" s="44">
        <v>0.97619999999999996</v>
      </c>
      <c r="G73" s="44">
        <v>0.99450000000000005</v>
      </c>
      <c r="H73" s="44">
        <v>0.98850000000000005</v>
      </c>
      <c r="I73" s="44">
        <v>0.99350000000000005</v>
      </c>
      <c r="J73" s="44">
        <v>0.97950000000000004</v>
      </c>
      <c r="K73" s="44">
        <v>0.99209999999999998</v>
      </c>
      <c r="L73" s="44">
        <v>0.97599999999999998</v>
      </c>
    </row>
    <row r="74" spans="1:14" x14ac:dyDescent="0.25">
      <c r="E74" s="44"/>
      <c r="F74" s="118"/>
      <c r="G74" s="44"/>
      <c r="H74" s="44"/>
      <c r="I74" s="44"/>
      <c r="J74" s="44"/>
      <c r="K74" s="44"/>
      <c r="L74" s="44"/>
      <c r="M74" s="44"/>
      <c r="N74" s="44"/>
    </row>
    <row r="75" spans="1:14" x14ac:dyDescent="0.25">
      <c r="A75" s="65"/>
      <c r="B75" s="65"/>
      <c r="C75" s="65"/>
      <c r="D75" s="65"/>
      <c r="E75" s="44"/>
      <c r="F75" s="118"/>
      <c r="G75" s="44"/>
      <c r="H75" s="44"/>
      <c r="I75" s="44"/>
      <c r="J75" s="44"/>
      <c r="K75" s="44"/>
      <c r="L75" s="44"/>
      <c r="M75" s="44"/>
      <c r="N75" s="44"/>
    </row>
    <row r="76" spans="1:14" x14ac:dyDescent="0.25">
      <c r="A76" s="65"/>
      <c r="B76" s="65"/>
      <c r="C76" s="44"/>
      <c r="D76" s="44"/>
      <c r="E76" s="44"/>
      <c r="F76" s="118"/>
      <c r="G76" s="44"/>
      <c r="H76" s="44"/>
      <c r="I76" s="44"/>
      <c r="J76" s="44"/>
      <c r="K76" s="44"/>
      <c r="L76" s="44"/>
    </row>
    <row r="77" spans="1:14" x14ac:dyDescent="0.25">
      <c r="A77" s="65"/>
      <c r="B77" s="65"/>
      <c r="C77" s="118"/>
      <c r="D77" s="118"/>
      <c r="E77" s="118"/>
      <c r="F77" s="118"/>
      <c r="G77" s="118"/>
      <c r="H77" s="118"/>
      <c r="I77" s="118"/>
      <c r="J77" s="118"/>
      <c r="K77" s="118"/>
      <c r="L77" s="118"/>
    </row>
  </sheetData>
  <mergeCells count="21">
    <mergeCell ref="E3:N3"/>
    <mergeCell ref="E4:F4"/>
    <mergeCell ref="G4:H4"/>
    <mergeCell ref="I4:J4"/>
    <mergeCell ref="K4:L4"/>
    <mergeCell ref="M4:N4"/>
    <mergeCell ref="A72:L72"/>
    <mergeCell ref="K16:L16"/>
    <mergeCell ref="B42:B43"/>
    <mergeCell ref="A46:A47"/>
    <mergeCell ref="C46:D46"/>
    <mergeCell ref="E46:F46"/>
    <mergeCell ref="G46:H46"/>
    <mergeCell ref="I46:J46"/>
    <mergeCell ref="K46:L46"/>
    <mergeCell ref="A16:A17"/>
    <mergeCell ref="B16:B17"/>
    <mergeCell ref="C16:D16"/>
    <mergeCell ref="E16:F16"/>
    <mergeCell ref="G16:H16"/>
    <mergeCell ref="I16:J16"/>
  </mergeCells>
  <pageMargins left="0.25" right="0.25" top="0.75" bottom="0.75" header="0.3" footer="0.3"/>
  <pageSetup scale="88" orientation="landscape" horizontalDpi="1200" verticalDpi="12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B9613-90A7-4369-B5D9-10814FE16CC3}">
  <sheetPr>
    <pageSetUpPr fitToPage="1"/>
  </sheetPr>
  <dimension ref="A1:N81"/>
  <sheetViews>
    <sheetView topLeftCell="A55" workbookViewId="0">
      <selection activeCell="A79" sqref="A79"/>
    </sheetView>
  </sheetViews>
  <sheetFormatPr defaultColWidth="8.85546875" defaultRowHeight="15" x14ac:dyDescent="0.25"/>
  <cols>
    <col min="1" max="1" width="48.42578125" style="33" customWidth="1"/>
    <col min="2" max="2" width="23.85546875" style="33" customWidth="1"/>
    <col min="3" max="3" width="11.5703125" style="33" customWidth="1"/>
    <col min="4" max="12" width="11.42578125" style="33" customWidth="1"/>
    <col min="13" max="14" width="11.140625" style="33" customWidth="1"/>
    <col min="15" max="16384" width="8.85546875" style="33"/>
  </cols>
  <sheetData>
    <row r="1" spans="1:14" x14ac:dyDescent="0.25">
      <c r="A1" s="65" t="s">
        <v>3154</v>
      </c>
      <c r="B1" s="65"/>
      <c r="C1" s="65"/>
      <c r="D1" s="65"/>
    </row>
    <row r="2" spans="1:14" ht="15.75" thickBot="1" x14ac:dyDescent="0.3">
      <c r="A2" s="65"/>
      <c r="B2" s="65"/>
      <c r="C2" s="65"/>
      <c r="D2" s="65"/>
    </row>
    <row r="3" spans="1:14" x14ac:dyDescent="0.25">
      <c r="A3" s="166" t="s">
        <v>3108</v>
      </c>
      <c r="B3" s="167" t="s">
        <v>3082</v>
      </c>
      <c r="C3" s="168" t="s">
        <v>3107</v>
      </c>
      <c r="D3" s="65"/>
      <c r="E3" s="241" t="s">
        <v>3152</v>
      </c>
      <c r="F3" s="242"/>
      <c r="G3" s="242"/>
      <c r="H3" s="242"/>
      <c r="I3" s="242"/>
      <c r="J3" s="242"/>
      <c r="K3" s="242"/>
      <c r="L3" s="242"/>
      <c r="M3" s="242"/>
      <c r="N3" s="243"/>
    </row>
    <row r="4" spans="1:14" x14ac:dyDescent="0.25">
      <c r="A4" s="169" t="s">
        <v>3112</v>
      </c>
      <c r="B4" s="33" t="s">
        <v>3083</v>
      </c>
      <c r="C4" s="170">
        <v>50</v>
      </c>
      <c r="D4" s="65"/>
      <c r="E4" s="244" t="s">
        <v>35</v>
      </c>
      <c r="F4" s="192"/>
      <c r="G4" s="192" t="s">
        <v>36</v>
      </c>
      <c r="H4" s="192"/>
      <c r="I4" s="192" t="s">
        <v>327</v>
      </c>
      <c r="J4" s="192"/>
      <c r="K4" s="192" t="s">
        <v>328</v>
      </c>
      <c r="L4" s="192"/>
      <c r="M4" s="192" t="s">
        <v>39</v>
      </c>
      <c r="N4" s="245"/>
    </row>
    <row r="5" spans="1:14" x14ac:dyDescent="0.25">
      <c r="A5" s="169" t="s">
        <v>3113</v>
      </c>
      <c r="B5" s="33" t="s">
        <v>3084</v>
      </c>
      <c r="C5" s="170">
        <v>200</v>
      </c>
      <c r="D5" s="65"/>
      <c r="E5" s="171" t="s">
        <v>330</v>
      </c>
      <c r="F5" s="124" t="s">
        <v>331</v>
      </c>
      <c r="G5" s="124" t="s">
        <v>330</v>
      </c>
      <c r="H5" s="124" t="s">
        <v>331</v>
      </c>
      <c r="I5" s="124" t="s">
        <v>330</v>
      </c>
      <c r="J5" s="124" t="s">
        <v>331</v>
      </c>
      <c r="K5" s="124" t="s">
        <v>330</v>
      </c>
      <c r="L5" s="124" t="s">
        <v>331</v>
      </c>
      <c r="M5" s="124" t="s">
        <v>330</v>
      </c>
      <c r="N5" s="172" t="s">
        <v>331</v>
      </c>
    </row>
    <row r="6" spans="1:14" ht="15.75" thickBot="1" x14ac:dyDescent="0.3">
      <c r="A6" s="169" t="s">
        <v>3114</v>
      </c>
      <c r="B6" s="33" t="s">
        <v>3085</v>
      </c>
      <c r="C6" s="170">
        <v>45</v>
      </c>
      <c r="D6" s="65"/>
      <c r="E6" s="173">
        <f t="shared" ref="E6:N6" si="0">C45</f>
        <v>0.54156373339211661</v>
      </c>
      <c r="F6" s="174">
        <f t="shared" si="0"/>
        <v>0.51384612050790146</v>
      </c>
      <c r="G6" s="174">
        <f t="shared" si="0"/>
        <v>0.3632235284812031</v>
      </c>
      <c r="H6" s="174">
        <f t="shared" si="0"/>
        <v>0.35491033426853402</v>
      </c>
      <c r="I6" s="174">
        <f t="shared" si="0"/>
        <v>0.40659733327228681</v>
      </c>
      <c r="J6" s="174">
        <f t="shared" si="0"/>
        <v>0.41999880344855883</v>
      </c>
      <c r="K6" s="174">
        <f t="shared" si="0"/>
        <v>0.20590405573947435</v>
      </c>
      <c r="L6" s="174">
        <f t="shared" si="0"/>
        <v>0.21841615785233978</v>
      </c>
      <c r="M6" s="174">
        <f t="shared" si="0"/>
        <v>0.22880498345640674</v>
      </c>
      <c r="N6" s="175">
        <f t="shared" si="0"/>
        <v>0.20211910606343184</v>
      </c>
    </row>
    <row r="7" spans="1:14" x14ac:dyDescent="0.25">
      <c r="A7" s="176" t="s">
        <v>3115</v>
      </c>
      <c r="B7" s="156" t="s">
        <v>3086</v>
      </c>
      <c r="C7" s="170">
        <v>160</v>
      </c>
      <c r="D7" s="65"/>
      <c r="E7" s="33" t="s">
        <v>3159</v>
      </c>
    </row>
    <row r="8" spans="1:14" x14ac:dyDescent="0.25">
      <c r="A8" s="169" t="s">
        <v>3087</v>
      </c>
      <c r="B8" s="177" t="s">
        <v>3088</v>
      </c>
      <c r="C8" s="170">
        <v>1</v>
      </c>
      <c r="D8" s="65"/>
    </row>
    <row r="9" spans="1:14" x14ac:dyDescent="0.25">
      <c r="A9" s="169" t="s">
        <v>3116</v>
      </c>
      <c r="B9" s="177" t="s">
        <v>3088</v>
      </c>
      <c r="C9" s="170">
        <v>0</v>
      </c>
      <c r="D9" s="65"/>
    </row>
    <row r="10" spans="1:14" ht="14.45" customHeight="1" x14ac:dyDescent="0.25">
      <c r="A10" s="178" t="s">
        <v>3117</v>
      </c>
      <c r="B10" s="156" t="s">
        <v>3118</v>
      </c>
      <c r="C10" s="170">
        <v>35</v>
      </c>
      <c r="D10" s="65"/>
      <c r="E10" s="118"/>
      <c r="F10" s="118"/>
      <c r="G10" s="118"/>
      <c r="H10" s="118"/>
      <c r="I10" s="118"/>
      <c r="J10" s="118"/>
      <c r="K10" s="118"/>
      <c r="L10" s="118"/>
      <c r="M10" s="118"/>
      <c r="N10" s="118"/>
    </row>
    <row r="11" spans="1:14" ht="14.45" customHeight="1" x14ac:dyDescent="0.25">
      <c r="A11" s="176" t="s">
        <v>3119</v>
      </c>
      <c r="B11" s="156" t="s">
        <v>3120</v>
      </c>
      <c r="C11" s="170">
        <v>90</v>
      </c>
      <c r="D11" s="65"/>
      <c r="E11" s="118"/>
      <c r="F11" s="118"/>
      <c r="G11" s="118"/>
      <c r="H11" s="118"/>
      <c r="I11" s="118"/>
      <c r="J11" s="118"/>
      <c r="K11" s="118"/>
      <c r="L11" s="118"/>
      <c r="M11" s="118"/>
      <c r="N11" s="118"/>
    </row>
    <row r="12" spans="1:14" x14ac:dyDescent="0.25">
      <c r="A12" s="169" t="s">
        <v>3121</v>
      </c>
      <c r="B12" s="177" t="s">
        <v>3088</v>
      </c>
      <c r="C12" s="170">
        <v>1</v>
      </c>
      <c r="D12" s="65"/>
      <c r="E12" s="118"/>
      <c r="F12" s="118"/>
      <c r="G12" s="118"/>
      <c r="H12" s="118"/>
      <c r="I12" s="118"/>
      <c r="J12" s="118"/>
      <c r="K12" s="118"/>
      <c r="L12" s="118"/>
      <c r="M12" s="118"/>
      <c r="N12" s="118"/>
    </row>
    <row r="13" spans="1:14" x14ac:dyDescent="0.25">
      <c r="A13" s="169" t="s">
        <v>3089</v>
      </c>
      <c r="B13" s="177" t="s">
        <v>3088</v>
      </c>
      <c r="C13" s="170">
        <v>0</v>
      </c>
      <c r="D13" s="65"/>
      <c r="E13" s="118"/>
      <c r="F13" s="118"/>
      <c r="G13" s="118"/>
      <c r="H13" s="118"/>
      <c r="I13" s="118"/>
      <c r="J13" s="118"/>
      <c r="K13" s="118"/>
      <c r="L13" s="118"/>
      <c r="M13" s="118"/>
      <c r="N13" s="118"/>
    </row>
    <row r="14" spans="1:14" ht="15.75" thickBot="1" x14ac:dyDescent="0.3">
      <c r="A14" s="179" t="s">
        <v>3142</v>
      </c>
      <c r="B14" s="187" t="s">
        <v>3100</v>
      </c>
      <c r="C14" s="181">
        <v>40</v>
      </c>
      <c r="D14" s="65"/>
      <c r="E14" s="118"/>
      <c r="F14" s="118"/>
      <c r="G14" s="118"/>
      <c r="H14" s="118"/>
      <c r="I14" s="118"/>
      <c r="J14" s="118"/>
      <c r="K14" s="118"/>
      <c r="L14" s="118"/>
      <c r="M14" s="118"/>
      <c r="N14" s="118"/>
    </row>
    <row r="15" spans="1:14" x14ac:dyDescent="0.25">
      <c r="A15" s="65"/>
      <c r="B15" s="65"/>
      <c r="C15" s="65"/>
      <c r="D15" s="65"/>
      <c r="E15" s="118"/>
      <c r="F15" s="118"/>
      <c r="G15" s="118"/>
      <c r="H15" s="118"/>
      <c r="I15" s="118"/>
      <c r="J15" s="118"/>
      <c r="K15" s="118"/>
      <c r="L15" s="118"/>
      <c r="M15" s="118"/>
      <c r="N15" s="118"/>
    </row>
    <row r="16" spans="1:14" x14ac:dyDescent="0.25">
      <c r="A16" s="65" t="s">
        <v>3122</v>
      </c>
      <c r="B16" s="65"/>
      <c r="C16" s="65"/>
      <c r="D16" s="65"/>
      <c r="E16" s="118"/>
      <c r="F16" s="118"/>
      <c r="G16" s="118"/>
      <c r="H16" s="118"/>
      <c r="I16" s="118"/>
      <c r="J16" s="118"/>
      <c r="K16" s="118"/>
      <c r="L16" s="118"/>
      <c r="M16" s="118"/>
      <c r="N16" s="118"/>
    </row>
    <row r="17" spans="1:12" ht="15" customHeight="1" x14ac:dyDescent="0.25">
      <c r="A17" s="236" t="s">
        <v>3168</v>
      </c>
      <c r="B17" s="236" t="s">
        <v>3109</v>
      </c>
      <c r="C17" s="192" t="s">
        <v>35</v>
      </c>
      <c r="D17" s="192"/>
      <c r="E17" s="192" t="s">
        <v>36</v>
      </c>
      <c r="F17" s="192"/>
      <c r="G17" s="192" t="s">
        <v>327</v>
      </c>
      <c r="H17" s="192"/>
      <c r="I17" s="192" t="s">
        <v>328</v>
      </c>
      <c r="J17" s="192"/>
      <c r="K17" s="192" t="s">
        <v>39</v>
      </c>
      <c r="L17" s="192"/>
    </row>
    <row r="18" spans="1:12" x14ac:dyDescent="0.25">
      <c r="A18" s="236"/>
      <c r="B18" s="236"/>
      <c r="C18" s="124" t="s">
        <v>330</v>
      </c>
      <c r="D18" s="124" t="s">
        <v>331</v>
      </c>
      <c r="E18" s="124" t="s">
        <v>330</v>
      </c>
      <c r="F18" s="124" t="s">
        <v>331</v>
      </c>
      <c r="G18" s="124" t="s">
        <v>330</v>
      </c>
      <c r="H18" s="124" t="s">
        <v>331</v>
      </c>
      <c r="I18" s="124" t="s">
        <v>330</v>
      </c>
      <c r="J18" s="124" t="s">
        <v>331</v>
      </c>
      <c r="K18" s="124" t="s">
        <v>330</v>
      </c>
      <c r="L18" s="124" t="s">
        <v>331</v>
      </c>
    </row>
    <row r="19" spans="1:12" x14ac:dyDescent="0.25">
      <c r="A19" s="33" t="s">
        <v>3123</v>
      </c>
      <c r="B19" s="177">
        <f>IF(AND(C4&gt;=30,C4&lt;80),(C4-55)/10, "out of range")</f>
        <v>-0.5</v>
      </c>
      <c r="C19" s="177">
        <f t="shared" ref="C19:L34" si="1">$B19*C50</f>
        <v>-0.27458840000000001</v>
      </c>
      <c r="D19" s="177">
        <f t="shared" si="1"/>
        <v>-0.23224549999999999</v>
      </c>
      <c r="E19" s="177">
        <f t="shared" si="1"/>
        <v>-0.23148345000000001</v>
      </c>
      <c r="F19" s="177">
        <f t="shared" si="1"/>
        <v>-0.19978035</v>
      </c>
      <c r="G19" s="177">
        <f t="shared" si="1"/>
        <v>-0.31597565</v>
      </c>
      <c r="H19" s="177">
        <f t="shared" si="1"/>
        <v>-0.28751179999999998</v>
      </c>
      <c r="I19" s="177">
        <f t="shared" si="1"/>
        <v>-0.24491705</v>
      </c>
      <c r="J19" s="177">
        <f t="shared" si="1"/>
        <v>-0.21033550000000001</v>
      </c>
      <c r="K19" s="177">
        <f t="shared" si="1"/>
        <v>-0.2177422</v>
      </c>
      <c r="L19" s="177">
        <f t="shared" si="1"/>
        <v>-0.20294809999999999</v>
      </c>
    </row>
    <row r="20" spans="1:12" x14ac:dyDescent="0.25">
      <c r="A20" s="33" t="s">
        <v>3153</v>
      </c>
      <c r="B20" s="10">
        <f>B19^2</f>
        <v>0.25</v>
      </c>
      <c r="C20" s="177">
        <f t="shared" si="1"/>
        <v>-2.3432774999999999E-2</v>
      </c>
      <c r="D20" s="177">
        <f t="shared" si="1"/>
        <v>-2.4972375000000002E-2</v>
      </c>
      <c r="E20" s="177">
        <f t="shared" si="1"/>
        <v>-2.2569425000000001E-2</v>
      </c>
      <c r="F20" s="177">
        <f t="shared" si="1"/>
        <v>-2.3639250000000001E-2</v>
      </c>
      <c r="G20" s="177">
        <f t="shared" si="1"/>
        <v>-2.52321E-2</v>
      </c>
      <c r="H20" s="177">
        <f t="shared" si="1"/>
        <v>-2.6556699999999999E-2</v>
      </c>
      <c r="I20" s="177">
        <f t="shared" si="1"/>
        <v>-2.3171625000000001E-2</v>
      </c>
      <c r="J20" s="177">
        <f t="shared" si="1"/>
        <v>-2.3978949999999999E-2</v>
      </c>
      <c r="K20" s="177">
        <f t="shared" si="1"/>
        <v>-2.2038624999999999E-2</v>
      </c>
      <c r="L20" s="177">
        <f t="shared" si="1"/>
        <v>-2.3564149999999999E-2</v>
      </c>
    </row>
    <row r="21" spans="1:12" x14ac:dyDescent="0.25">
      <c r="A21" s="33" t="s">
        <v>3124</v>
      </c>
      <c r="B21" s="177">
        <f>IF(AND(C5&gt;=130,C5&lt;=320,C6&gt;=20,C6&lt;=100),(C5-C6)*0.02586-3.5,"out of range")</f>
        <v>0.5083000000000002</v>
      </c>
      <c r="C21" s="177">
        <f t="shared" si="1"/>
        <v>1.8291023010000008E-2</v>
      </c>
      <c r="D21" s="177">
        <f t="shared" si="1"/>
        <v>3.8509112980000017E-2</v>
      </c>
      <c r="E21" s="177">
        <f t="shared" si="1"/>
        <v>6.1769327620000022E-2</v>
      </c>
      <c r="F21" s="177">
        <f t="shared" si="1"/>
        <v>8.5734554360000034E-2</v>
      </c>
      <c r="G21" s="177">
        <f t="shared" si="1"/>
        <v>0</v>
      </c>
      <c r="H21" s="177">
        <f t="shared" si="1"/>
        <v>0</v>
      </c>
      <c r="I21" s="177">
        <f t="shared" si="1"/>
        <v>9.3197211640000041E-2</v>
      </c>
      <c r="J21" s="177">
        <f t="shared" si="1"/>
        <v>0.13155612197000005</v>
      </c>
      <c r="K21" s="177">
        <f t="shared" si="1"/>
        <v>2.7956652490000011E-2</v>
      </c>
      <c r="L21" s="177">
        <f t="shared" si="1"/>
        <v>1.3149873490000005E-2</v>
      </c>
    </row>
    <row r="22" spans="1:12" x14ac:dyDescent="0.25">
      <c r="A22" s="33" t="s">
        <v>3125</v>
      </c>
      <c r="B22" s="177">
        <f>IF(AND(C6&gt;=20,C6&lt;=100),(C6*0.02586-1.3)/0.3,"out of range")</f>
        <v>-0.45433333333333364</v>
      </c>
      <c r="C22" s="177">
        <f t="shared" si="1"/>
        <v>7.4645376500000055E-2</v>
      </c>
      <c r="D22" s="177">
        <f t="shared" si="1"/>
        <v>4.687711380000003E-2</v>
      </c>
      <c r="E22" s="177">
        <f t="shared" si="1"/>
        <v>6.9152668233333381E-2</v>
      </c>
      <c r="F22" s="177">
        <f t="shared" si="1"/>
        <v>5.4617454500000037E-2</v>
      </c>
      <c r="G22" s="177">
        <f t="shared" si="1"/>
        <v>0</v>
      </c>
      <c r="H22" s="177">
        <f t="shared" si="1"/>
        <v>0</v>
      </c>
      <c r="I22" s="177">
        <f t="shared" si="1"/>
        <v>9.159859766666674E-2</v>
      </c>
      <c r="J22" s="177">
        <f t="shared" si="1"/>
        <v>8.5401854466666718E-2</v>
      </c>
      <c r="K22" s="177">
        <f t="shared" si="1"/>
        <v>4.76348963666667E-2</v>
      </c>
      <c r="L22" s="177">
        <f t="shared" si="1"/>
        <v>1.317652990000001E-2</v>
      </c>
    </row>
    <row r="23" spans="1:12" x14ac:dyDescent="0.25">
      <c r="A23" s="33" t="s">
        <v>3090</v>
      </c>
      <c r="B23" s="177">
        <f>IF(AND(C7&gt;=90,C7&lt;=200),(MIN(C7,110)-110)/20,"out of range")</f>
        <v>0</v>
      </c>
      <c r="C23" s="177">
        <f t="shared" si="1"/>
        <v>0</v>
      </c>
      <c r="D23" s="177">
        <f t="shared" si="1"/>
        <v>0</v>
      </c>
      <c r="E23" s="177">
        <f t="shared" si="1"/>
        <v>0</v>
      </c>
      <c r="F23" s="177">
        <f t="shared" si="1"/>
        <v>0</v>
      </c>
      <c r="G23" s="177">
        <f t="shared" si="1"/>
        <v>0</v>
      </c>
      <c r="H23" s="177">
        <f t="shared" si="1"/>
        <v>0</v>
      </c>
      <c r="I23" s="177">
        <f t="shared" si="1"/>
        <v>0</v>
      </c>
      <c r="J23" s="177">
        <f t="shared" si="1"/>
        <v>0</v>
      </c>
      <c r="K23" s="177">
        <f t="shared" si="1"/>
        <v>0</v>
      </c>
      <c r="L23" s="177">
        <f t="shared" si="1"/>
        <v>0</v>
      </c>
    </row>
    <row r="24" spans="1:12" x14ac:dyDescent="0.25">
      <c r="A24" s="33" t="s">
        <v>3091</v>
      </c>
      <c r="B24" s="177">
        <f>IF(AND(C7&gt;=90,C7&lt;=200),(MAX(C7,110)-130)/20,"out of range")</f>
        <v>1.5</v>
      </c>
      <c r="C24" s="177">
        <f t="shared" si="1"/>
        <v>0.47002949999999999</v>
      </c>
      <c r="D24" s="177">
        <f t="shared" si="1"/>
        <v>0.40737239999999997</v>
      </c>
      <c r="E24" s="177">
        <f t="shared" si="1"/>
        <v>0.46704135000000002</v>
      </c>
      <c r="F24" s="177">
        <f t="shared" si="1"/>
        <v>0.39503489999999997</v>
      </c>
      <c r="G24" s="177">
        <f t="shared" si="1"/>
        <v>0.42950895</v>
      </c>
      <c r="H24" s="177">
        <f t="shared" si="1"/>
        <v>0.41143110000000005</v>
      </c>
      <c r="I24" s="177">
        <f t="shared" si="1"/>
        <v>0.44727945000000002</v>
      </c>
      <c r="J24" s="177">
        <f t="shared" si="1"/>
        <v>0.37156665</v>
      </c>
      <c r="K24" s="177">
        <f t="shared" si="1"/>
        <v>0.47479289999999996</v>
      </c>
      <c r="L24" s="177">
        <f t="shared" si="1"/>
        <v>0.42018105</v>
      </c>
    </row>
    <row r="25" spans="1:12" x14ac:dyDescent="0.25">
      <c r="A25" s="33" t="s">
        <v>372</v>
      </c>
      <c r="B25" s="177">
        <f>IF(OR(C8=0,C8=1),C8,"out of range")</f>
        <v>1</v>
      </c>
      <c r="C25" s="177">
        <f t="shared" si="1"/>
        <v>0.62537659999999995</v>
      </c>
      <c r="D25" s="177">
        <f t="shared" si="1"/>
        <v>0.47546369999999999</v>
      </c>
      <c r="E25" s="177">
        <f t="shared" si="1"/>
        <v>0.58125599999999999</v>
      </c>
      <c r="F25" s="177">
        <f t="shared" si="1"/>
        <v>0.43620360000000002</v>
      </c>
      <c r="G25" s="177">
        <f t="shared" si="1"/>
        <v>0.76312210000000003</v>
      </c>
      <c r="H25" s="177">
        <f t="shared" si="1"/>
        <v>0.61220799999999997</v>
      </c>
      <c r="I25" s="177">
        <f t="shared" si="1"/>
        <v>0.63781719999999997</v>
      </c>
      <c r="J25" s="177">
        <f t="shared" si="1"/>
        <v>0.45879969999999998</v>
      </c>
      <c r="K25" s="177">
        <f t="shared" si="1"/>
        <v>0.530582</v>
      </c>
      <c r="L25" s="177">
        <f t="shared" si="1"/>
        <v>0.37291790000000002</v>
      </c>
    </row>
    <row r="26" spans="1:12" x14ac:dyDescent="0.25">
      <c r="A26" s="33" t="s">
        <v>3126</v>
      </c>
      <c r="B26" s="177">
        <f>IF(OR(C9=0,C9=1),C9,"out of range")</f>
        <v>0</v>
      </c>
      <c r="C26" s="177">
        <f t="shared" si="1"/>
        <v>0</v>
      </c>
      <c r="D26" s="177">
        <f t="shared" si="1"/>
        <v>0</v>
      </c>
      <c r="E26" s="177">
        <f t="shared" si="1"/>
        <v>0</v>
      </c>
      <c r="F26" s="177">
        <f t="shared" si="1"/>
        <v>0</v>
      </c>
      <c r="G26" s="177">
        <f t="shared" si="1"/>
        <v>0</v>
      </c>
      <c r="H26" s="177">
        <f t="shared" si="1"/>
        <v>0</v>
      </c>
      <c r="I26" s="177">
        <f t="shared" si="1"/>
        <v>0</v>
      </c>
      <c r="J26" s="177">
        <f t="shared" si="1"/>
        <v>0</v>
      </c>
      <c r="K26" s="177">
        <f t="shared" si="1"/>
        <v>0</v>
      </c>
      <c r="L26" s="177">
        <f t="shared" si="1"/>
        <v>0</v>
      </c>
    </row>
    <row r="27" spans="1:12" x14ac:dyDescent="0.25">
      <c r="A27" s="33" t="s">
        <v>3092</v>
      </c>
      <c r="B27" s="177">
        <f>IF(AND(C10&gt;=18.5,C10&lt;40),(MIN(C10,30)-25)/5,"out of range")</f>
        <v>1</v>
      </c>
      <c r="C27" s="177">
        <f t="shared" si="1"/>
        <v>0</v>
      </c>
      <c r="D27" s="177">
        <f t="shared" si="1"/>
        <v>0</v>
      </c>
      <c r="E27" s="177">
        <f t="shared" si="1"/>
        <v>0</v>
      </c>
      <c r="F27" s="177">
        <f t="shared" si="1"/>
        <v>0</v>
      </c>
      <c r="G27" s="177">
        <f t="shared" si="1"/>
        <v>6.7708400000000002E-2</v>
      </c>
      <c r="H27" s="177">
        <f t="shared" si="1"/>
        <v>8.9545899999999998E-2</v>
      </c>
      <c r="I27" s="177">
        <f t="shared" si="1"/>
        <v>0</v>
      </c>
      <c r="J27" s="177">
        <f t="shared" si="1"/>
        <v>0</v>
      </c>
      <c r="K27" s="177">
        <f t="shared" si="1"/>
        <v>0</v>
      </c>
      <c r="L27" s="177">
        <f t="shared" si="1"/>
        <v>0</v>
      </c>
    </row>
    <row r="28" spans="1:12" x14ac:dyDescent="0.25">
      <c r="A28" s="33" t="s">
        <v>3093</v>
      </c>
      <c r="B28" s="177">
        <f>IF(AND(C10&gt;=18.5,C10&lt;40),(MAX(C10,30)-30)/5,"out of range")</f>
        <v>1</v>
      </c>
      <c r="C28" s="177">
        <f t="shared" si="1"/>
        <v>0</v>
      </c>
      <c r="D28" s="177">
        <f t="shared" si="1"/>
        <v>0</v>
      </c>
      <c r="E28" s="177">
        <f t="shared" si="1"/>
        <v>0</v>
      </c>
      <c r="F28" s="177">
        <f t="shared" si="1"/>
        <v>0</v>
      </c>
      <c r="G28" s="177">
        <f t="shared" si="1"/>
        <v>0.2517238</v>
      </c>
      <c r="H28" s="177">
        <f t="shared" si="1"/>
        <v>0.26324239999999999</v>
      </c>
      <c r="I28" s="177">
        <f t="shared" si="1"/>
        <v>0</v>
      </c>
      <c r="J28" s="177">
        <f t="shared" si="1"/>
        <v>0</v>
      </c>
      <c r="K28" s="177">
        <f t="shared" si="1"/>
        <v>0</v>
      </c>
      <c r="L28" s="177">
        <f t="shared" si="1"/>
        <v>0</v>
      </c>
    </row>
    <row r="29" spans="1:12" x14ac:dyDescent="0.25">
      <c r="A29" s="33" t="s">
        <v>3094</v>
      </c>
      <c r="B29" s="177">
        <f>IF(AND(C11&gt;=15,C11&lt;=150),(MIN(C11,60)-60)/-15,"out of range")</f>
        <v>0</v>
      </c>
      <c r="C29" s="177">
        <f t="shared" si="1"/>
        <v>0</v>
      </c>
      <c r="D29" s="177">
        <f t="shared" si="1"/>
        <v>0</v>
      </c>
      <c r="E29" s="177">
        <f t="shared" si="1"/>
        <v>0</v>
      </c>
      <c r="F29" s="177">
        <f t="shared" si="1"/>
        <v>0</v>
      </c>
      <c r="G29" s="177">
        <f t="shared" si="1"/>
        <v>0</v>
      </c>
      <c r="H29" s="177">
        <f t="shared" si="1"/>
        <v>0</v>
      </c>
      <c r="I29" s="177">
        <f t="shared" si="1"/>
        <v>0</v>
      </c>
      <c r="J29" s="177">
        <f t="shared" si="1"/>
        <v>0</v>
      </c>
      <c r="K29" s="177">
        <f t="shared" si="1"/>
        <v>0</v>
      </c>
      <c r="L29" s="177">
        <f t="shared" si="1"/>
        <v>0</v>
      </c>
    </row>
    <row r="30" spans="1:12" x14ac:dyDescent="0.25">
      <c r="A30" s="33" t="s">
        <v>3095</v>
      </c>
      <c r="B30" s="177">
        <f>IF(AND(C11&gt;=15,C11&lt;=150),(MAX(C11,60)-90)/-15,"out of range")</f>
        <v>0</v>
      </c>
      <c r="C30" s="177">
        <f t="shared" si="1"/>
        <v>0</v>
      </c>
      <c r="D30" s="177">
        <f t="shared" si="1"/>
        <v>0</v>
      </c>
      <c r="E30" s="177">
        <f t="shared" si="1"/>
        <v>0</v>
      </c>
      <c r="F30" s="177">
        <f t="shared" si="1"/>
        <v>0</v>
      </c>
      <c r="G30" s="177">
        <f t="shared" si="1"/>
        <v>0</v>
      </c>
      <c r="H30" s="177">
        <f t="shared" si="1"/>
        <v>0</v>
      </c>
      <c r="I30" s="177">
        <f t="shared" si="1"/>
        <v>0</v>
      </c>
      <c r="J30" s="177">
        <f t="shared" si="1"/>
        <v>0</v>
      </c>
      <c r="K30" s="177">
        <f t="shared" si="1"/>
        <v>0</v>
      </c>
      <c r="L30" s="177">
        <f t="shared" si="1"/>
        <v>0</v>
      </c>
    </row>
    <row r="31" spans="1:12" x14ac:dyDescent="0.25">
      <c r="A31" s="33" t="s">
        <v>3127</v>
      </c>
      <c r="B31" s="177">
        <f>IF(OR(C12=0,C12=1),C12,"out of range")</f>
        <v>1</v>
      </c>
      <c r="C31" s="177">
        <f t="shared" si="1"/>
        <v>0.27824330000000003</v>
      </c>
      <c r="D31" s="177">
        <f t="shared" si="1"/>
        <v>0.21899109999999999</v>
      </c>
      <c r="E31" s="177">
        <f t="shared" si="1"/>
        <v>0.17861779999999999</v>
      </c>
      <c r="F31" s="177">
        <f t="shared" si="1"/>
        <v>0.1319331</v>
      </c>
      <c r="G31" s="177">
        <f t="shared" si="1"/>
        <v>0.31714360000000003</v>
      </c>
      <c r="H31" s="177">
        <f t="shared" si="1"/>
        <v>0.24174680000000001</v>
      </c>
      <c r="I31" s="177">
        <f t="shared" si="1"/>
        <v>0.14822669999999999</v>
      </c>
      <c r="J31" s="177">
        <f t="shared" si="1"/>
        <v>8.6179599999999995E-2</v>
      </c>
      <c r="K31" s="177">
        <f t="shared" si="1"/>
        <v>0.1982863</v>
      </c>
      <c r="L31" s="177">
        <f t="shared" si="1"/>
        <v>0.15643000000000001</v>
      </c>
    </row>
    <row r="32" spans="1:12" x14ac:dyDescent="0.25">
      <c r="A32" s="33" t="s">
        <v>3128</v>
      </c>
      <c r="B32" s="177">
        <f>IF(OR(C13=0,C13=1),C13,"out of range")</f>
        <v>0</v>
      </c>
      <c r="C32" s="177">
        <f t="shared" si="1"/>
        <v>0</v>
      </c>
      <c r="D32" s="177">
        <f t="shared" si="1"/>
        <v>0</v>
      </c>
      <c r="E32" s="177">
        <f t="shared" si="1"/>
        <v>0</v>
      </c>
      <c r="F32" s="177">
        <f t="shared" si="1"/>
        <v>0</v>
      </c>
      <c r="G32" s="177">
        <f t="shared" si="1"/>
        <v>0</v>
      </c>
      <c r="H32" s="177">
        <f t="shared" si="1"/>
        <v>0</v>
      </c>
      <c r="I32" s="177">
        <f t="shared" si="1"/>
        <v>0</v>
      </c>
      <c r="J32" s="177">
        <f t="shared" si="1"/>
        <v>0</v>
      </c>
      <c r="K32" s="177">
        <f t="shared" si="1"/>
        <v>0</v>
      </c>
      <c r="L32" s="177">
        <f t="shared" si="1"/>
        <v>0</v>
      </c>
    </row>
    <row r="33" spans="1:12" x14ac:dyDescent="0.25">
      <c r="A33" s="33" t="s">
        <v>3129</v>
      </c>
      <c r="B33" s="177">
        <f>B24*B31</f>
        <v>1.5</v>
      </c>
      <c r="C33" s="177">
        <f t="shared" si="1"/>
        <v>-9.4342049999999997E-2</v>
      </c>
      <c r="D33" s="177">
        <f t="shared" si="1"/>
        <v>-6.8010000000000001E-2</v>
      </c>
      <c r="E33" s="177">
        <f t="shared" si="1"/>
        <v>-4.8770250000000001E-2</v>
      </c>
      <c r="F33" s="177">
        <f t="shared" si="1"/>
        <v>-4.0394100000000002E-2</v>
      </c>
      <c r="G33" s="177">
        <f t="shared" si="1"/>
        <v>-0.14559915000000001</v>
      </c>
      <c r="H33" s="177">
        <f t="shared" si="1"/>
        <v>-7.4786100000000008E-2</v>
      </c>
      <c r="I33" s="177">
        <f t="shared" si="1"/>
        <v>-0.12866895</v>
      </c>
      <c r="J33" s="177">
        <f t="shared" si="1"/>
        <v>-8.0689049999999998E-2</v>
      </c>
      <c r="K33" s="177">
        <f t="shared" si="1"/>
        <v>-2.6946000000000001E-3</v>
      </c>
      <c r="L33" s="177">
        <f t="shared" si="1"/>
        <v>2.8485750000000001E-2</v>
      </c>
    </row>
    <row r="34" spans="1:12" x14ac:dyDescent="0.25">
      <c r="A34" s="33" t="s">
        <v>3130</v>
      </c>
      <c r="B34" s="177">
        <f>B21*B32</f>
        <v>0</v>
      </c>
      <c r="C34" s="177">
        <f t="shared" si="1"/>
        <v>0</v>
      </c>
      <c r="D34" s="177">
        <f t="shared" si="1"/>
        <v>0</v>
      </c>
      <c r="E34" s="177">
        <f t="shared" si="1"/>
        <v>0</v>
      </c>
      <c r="F34" s="177">
        <f t="shared" si="1"/>
        <v>0</v>
      </c>
      <c r="G34" s="177">
        <f t="shared" si="1"/>
        <v>0</v>
      </c>
      <c r="H34" s="177">
        <f t="shared" si="1"/>
        <v>0</v>
      </c>
      <c r="I34" s="177">
        <f t="shared" si="1"/>
        <v>0</v>
      </c>
      <c r="J34" s="177">
        <f t="shared" si="1"/>
        <v>0</v>
      </c>
      <c r="K34" s="177">
        <f t="shared" si="1"/>
        <v>0</v>
      </c>
      <c r="L34" s="177">
        <f t="shared" si="1"/>
        <v>0</v>
      </c>
    </row>
    <row r="35" spans="1:12" x14ac:dyDescent="0.25">
      <c r="A35" s="33" t="s">
        <v>3131</v>
      </c>
      <c r="B35" s="177">
        <f>B19*B21</f>
        <v>-0.2541500000000001</v>
      </c>
      <c r="C35" s="177">
        <f t="shared" ref="C35:L42" si="2">$B35*C66</f>
        <v>1.8062059275000007E-2</v>
      </c>
      <c r="D35" s="177">
        <f t="shared" si="2"/>
        <v>1.2300732925000004E-2</v>
      </c>
      <c r="E35" s="177">
        <f t="shared" si="2"/>
        <v>1.2432738435000005E-2</v>
      </c>
      <c r="F35" s="177">
        <f t="shared" si="2"/>
        <v>7.5487887150000026E-3</v>
      </c>
      <c r="G35" s="177">
        <f t="shared" si="2"/>
        <v>0</v>
      </c>
      <c r="H35" s="177">
        <f t="shared" si="2"/>
        <v>0</v>
      </c>
      <c r="I35" s="177">
        <f t="shared" si="2"/>
        <v>1.5241045105000005E-2</v>
      </c>
      <c r="J35" s="177">
        <f t="shared" si="2"/>
        <v>1.3217172410000005E-2</v>
      </c>
      <c r="K35" s="177">
        <f t="shared" si="2"/>
        <v>8.435263915000003E-3</v>
      </c>
      <c r="L35" s="177">
        <f t="shared" si="2"/>
        <v>-4.2092323000000017E-3</v>
      </c>
    </row>
    <row r="36" spans="1:12" x14ac:dyDescent="0.25">
      <c r="A36" s="33" t="s">
        <v>3132</v>
      </c>
      <c r="B36" s="177">
        <f>B19*B22</f>
        <v>0.22716666666666682</v>
      </c>
      <c r="C36" s="177">
        <f t="shared" si="2"/>
        <v>6.9595461500000051E-3</v>
      </c>
      <c r="D36" s="177">
        <f t="shared" si="2"/>
        <v>4.0662151833333361E-3</v>
      </c>
      <c r="E36" s="177">
        <f t="shared" si="2"/>
        <v>7.2938446166666724E-3</v>
      </c>
      <c r="F36" s="177">
        <f t="shared" si="2"/>
        <v>4.9507567500000037E-3</v>
      </c>
      <c r="G36" s="177">
        <f t="shared" si="2"/>
        <v>0</v>
      </c>
      <c r="H36" s="177">
        <f t="shared" si="2"/>
        <v>0</v>
      </c>
      <c r="I36" s="177">
        <f t="shared" si="2"/>
        <v>1.0939483433333341E-2</v>
      </c>
      <c r="J36" s="177">
        <f t="shared" si="2"/>
        <v>1.0721585166666674E-2</v>
      </c>
      <c r="K36" s="177">
        <f t="shared" si="2"/>
        <v>3.6995227500000029E-3</v>
      </c>
      <c r="L36" s="177">
        <f t="shared" si="2"/>
        <v>-3.1096390666666687E-3</v>
      </c>
    </row>
    <row r="37" spans="1:12" x14ac:dyDescent="0.25">
      <c r="A37" s="33" t="s">
        <v>3096</v>
      </c>
      <c r="B37" s="177">
        <f>B19*B24</f>
        <v>-0.75</v>
      </c>
      <c r="C37" s="177">
        <f t="shared" si="2"/>
        <v>7.1359124999999995E-2</v>
      </c>
      <c r="D37" s="177">
        <f t="shared" si="2"/>
        <v>7.94493E-2</v>
      </c>
      <c r="E37" s="177">
        <f t="shared" si="2"/>
        <v>7.5238875000000011E-2</v>
      </c>
      <c r="F37" s="177">
        <f t="shared" si="2"/>
        <v>6.7001025000000006E-2</v>
      </c>
      <c r="G37" s="177">
        <f t="shared" si="2"/>
        <v>6.7217925000000012E-2</v>
      </c>
      <c r="H37" s="177">
        <f t="shared" si="2"/>
        <v>8.9537024999999992E-2</v>
      </c>
      <c r="I37" s="177">
        <f t="shared" si="2"/>
        <v>6.22167E-2</v>
      </c>
      <c r="J37" s="177">
        <f t="shared" si="2"/>
        <v>5.8797374999999999E-2</v>
      </c>
      <c r="K37" s="177">
        <f t="shared" si="2"/>
        <v>8.5450650000000003E-2</v>
      </c>
      <c r="L37" s="177">
        <f t="shared" si="2"/>
        <v>8.1043875000000001E-2</v>
      </c>
    </row>
    <row r="38" spans="1:12" x14ac:dyDescent="0.25">
      <c r="A38" s="33" t="s">
        <v>3133</v>
      </c>
      <c r="B38" s="177">
        <f>B19*B25</f>
        <v>-0.5</v>
      </c>
      <c r="C38" s="177">
        <f t="shared" si="2"/>
        <v>0.15841155000000001</v>
      </c>
      <c r="D38" s="177">
        <f t="shared" si="2"/>
        <v>0.12464305000000001</v>
      </c>
      <c r="E38" s="177">
        <f t="shared" si="2"/>
        <v>0.13422870000000001</v>
      </c>
      <c r="F38" s="177">
        <f t="shared" si="2"/>
        <v>0.10407335</v>
      </c>
      <c r="G38" s="177">
        <f t="shared" si="2"/>
        <v>0.20037150000000001</v>
      </c>
      <c r="H38" s="177">
        <f t="shared" si="2"/>
        <v>0.15832550000000001</v>
      </c>
      <c r="I38" s="177">
        <f t="shared" si="2"/>
        <v>0.13798540000000001</v>
      </c>
      <c r="J38" s="177">
        <f t="shared" si="2"/>
        <v>0.10429375</v>
      </c>
      <c r="K38" s="177">
        <f t="shared" si="2"/>
        <v>0.13322375</v>
      </c>
      <c r="L38" s="177">
        <f t="shared" si="2"/>
        <v>0.10231795</v>
      </c>
    </row>
    <row r="39" spans="1:12" x14ac:dyDescent="0.25">
      <c r="A39" s="33" t="s">
        <v>3134</v>
      </c>
      <c r="B39" s="177">
        <f>B19*B26</f>
        <v>0</v>
      </c>
      <c r="C39" s="177">
        <f t="shared" si="2"/>
        <v>0</v>
      </c>
      <c r="D39" s="177">
        <f t="shared" si="2"/>
        <v>0</v>
      </c>
      <c r="E39" s="177">
        <f t="shared" si="2"/>
        <v>0</v>
      </c>
      <c r="F39" s="177">
        <f t="shared" si="2"/>
        <v>0</v>
      </c>
      <c r="G39" s="177">
        <f t="shared" si="2"/>
        <v>0</v>
      </c>
      <c r="H39" s="177">
        <f t="shared" si="2"/>
        <v>0</v>
      </c>
      <c r="I39" s="177">
        <f t="shared" si="2"/>
        <v>0</v>
      </c>
      <c r="J39" s="177">
        <f t="shared" si="2"/>
        <v>0</v>
      </c>
      <c r="K39" s="177">
        <f t="shared" si="2"/>
        <v>0</v>
      </c>
      <c r="L39" s="177">
        <f t="shared" si="2"/>
        <v>0</v>
      </c>
    </row>
    <row r="40" spans="1:12" x14ac:dyDescent="0.25">
      <c r="A40" s="33" t="s">
        <v>3135</v>
      </c>
      <c r="B40" s="177">
        <f>B19*B28</f>
        <v>-0.5</v>
      </c>
      <c r="C40" s="177">
        <f t="shared" si="2"/>
        <v>0</v>
      </c>
      <c r="D40" s="177">
        <f t="shared" si="2"/>
        <v>0</v>
      </c>
      <c r="E40" s="177">
        <f t="shared" si="2"/>
        <v>0</v>
      </c>
      <c r="F40" s="177">
        <f t="shared" si="2"/>
        <v>0</v>
      </c>
      <c r="G40" s="177">
        <f t="shared" si="2"/>
        <v>2.7349499999999999E-3</v>
      </c>
      <c r="H40" s="177">
        <f t="shared" si="2"/>
        <v>1.08439E-2</v>
      </c>
      <c r="I40" s="177">
        <f t="shared" si="2"/>
        <v>0</v>
      </c>
      <c r="J40" s="177">
        <f t="shared" si="2"/>
        <v>0</v>
      </c>
      <c r="K40" s="177">
        <f t="shared" si="2"/>
        <v>0</v>
      </c>
      <c r="L40" s="177">
        <f t="shared" si="2"/>
        <v>0</v>
      </c>
    </row>
    <row r="41" spans="1:12" x14ac:dyDescent="0.25">
      <c r="A41" s="33" t="s">
        <v>3136</v>
      </c>
      <c r="B41" s="177">
        <f>B19*B29</f>
        <v>0</v>
      </c>
      <c r="C41" s="177">
        <f t="shared" si="2"/>
        <v>0</v>
      </c>
      <c r="D41" s="177">
        <f t="shared" si="2"/>
        <v>0</v>
      </c>
      <c r="E41" s="177">
        <f t="shared" si="2"/>
        <v>0</v>
      </c>
      <c r="F41" s="177">
        <f t="shared" si="2"/>
        <v>0</v>
      </c>
      <c r="G41" s="177">
        <f t="shared" si="2"/>
        <v>0</v>
      </c>
      <c r="H41" s="177">
        <f t="shared" si="2"/>
        <v>0</v>
      </c>
      <c r="I41" s="177">
        <f t="shared" si="2"/>
        <v>0</v>
      </c>
      <c r="J41" s="177">
        <f t="shared" si="2"/>
        <v>0</v>
      </c>
      <c r="K41" s="177">
        <f t="shared" si="2"/>
        <v>0</v>
      </c>
      <c r="L41" s="177">
        <f t="shared" si="2"/>
        <v>0</v>
      </c>
    </row>
    <row r="42" spans="1:12" x14ac:dyDescent="0.25">
      <c r="A42" s="33" t="s">
        <v>3143</v>
      </c>
      <c r="B42" s="177">
        <f>IF(AND(C14&gt;=0.1,C14&lt;=25000),LN(C14),"out of range")</f>
        <v>3.6888794541139363</v>
      </c>
      <c r="C42" s="177">
        <f t="shared" si="2"/>
        <v>0.42136262453410978</v>
      </c>
      <c r="D42" s="177">
        <f t="shared" si="2"/>
        <v>0.37168079604610327</v>
      </c>
      <c r="E42" s="177">
        <f t="shared" si="2"/>
        <v>0.3332795609287772</v>
      </c>
      <c r="F42" s="177">
        <f t="shared" si="2"/>
        <v>0.25264102494979196</v>
      </c>
      <c r="G42" s="177">
        <f t="shared" si="2"/>
        <v>0.54817781574380242</v>
      </c>
      <c r="H42" s="177">
        <f t="shared" si="2"/>
        <v>0.50406767078328962</v>
      </c>
      <c r="I42" s="177">
        <f t="shared" si="2"/>
        <v>0.36133385806525914</v>
      </c>
      <c r="J42" s="177">
        <f t="shared" si="2"/>
        <v>0.22481248723590186</v>
      </c>
      <c r="K42" s="177">
        <f t="shared" si="2"/>
        <v>0.29739524826299307</v>
      </c>
      <c r="L42" s="177">
        <f t="shared" si="2"/>
        <v>0.29280701999796616</v>
      </c>
    </row>
    <row r="43" spans="1:12" x14ac:dyDescent="0.25">
      <c r="A43" s="33" t="s">
        <v>2395</v>
      </c>
      <c r="B43" s="177">
        <v>1</v>
      </c>
      <c r="C43" s="177">
        <f t="shared" ref="C43:L43" si="3">$B43*C75</f>
        <v>-1.5837380000000001</v>
      </c>
      <c r="D43" s="177">
        <f t="shared" si="3"/>
        <v>-1.3987270000000001</v>
      </c>
      <c r="E43" s="177">
        <f t="shared" si="3"/>
        <v>-2.1788880000000002</v>
      </c>
      <c r="F43" s="177">
        <f t="shared" si="3"/>
        <v>-1.8734489999999999</v>
      </c>
      <c r="G43" s="177">
        <f t="shared" si="3"/>
        <v>-2.5389520000000001</v>
      </c>
      <c r="H43" s="177">
        <f t="shared" si="3"/>
        <v>-2.3148719999999998</v>
      </c>
      <c r="I43" s="177">
        <f t="shared" si="3"/>
        <v>-2.9588719999999999</v>
      </c>
      <c r="J43" s="177">
        <f t="shared" si="3"/>
        <v>-2.5052629999999998</v>
      </c>
      <c r="K43" s="177">
        <f t="shared" si="3"/>
        <v>-2.7800530000000001</v>
      </c>
      <c r="L43" s="177">
        <f t="shared" si="3"/>
        <v>-2.6197810000000001</v>
      </c>
    </row>
    <row r="44" spans="1:12" ht="14.45" customHeight="1" x14ac:dyDescent="0.25">
      <c r="A44" s="65" t="s">
        <v>3098</v>
      </c>
      <c r="B44" s="240" t="s">
        <v>3097</v>
      </c>
      <c r="C44" s="177">
        <f>SUM(C19:C43)</f>
        <v>0.16663947946910995</v>
      </c>
      <c r="D44" s="177">
        <f t="shared" ref="D44:L44" si="4">SUM(D19:D43)</f>
        <v>5.5398645934436663E-2</v>
      </c>
      <c r="E44" s="177">
        <f t="shared" si="4"/>
        <v>-0.56140026016622313</v>
      </c>
      <c r="F44" s="177">
        <f t="shared" si="4"/>
        <v>-0.59752414572520784</v>
      </c>
      <c r="G44" s="177">
        <f t="shared" si="4"/>
        <v>-0.37804985925619761</v>
      </c>
      <c r="H44" s="177">
        <f t="shared" si="4"/>
        <v>-0.32277830421671005</v>
      </c>
      <c r="I44" s="177">
        <f t="shared" si="4"/>
        <v>-1.3497939790897406</v>
      </c>
      <c r="J44" s="177">
        <f t="shared" si="4"/>
        <v>-1.2749202037507645</v>
      </c>
      <c r="K44" s="177">
        <f t="shared" si="4"/>
        <v>-1.2150712412153404</v>
      </c>
      <c r="L44" s="177">
        <f t="shared" si="4"/>
        <v>-1.3731021729787007</v>
      </c>
    </row>
    <row r="45" spans="1:12" x14ac:dyDescent="0.25">
      <c r="A45" s="183" t="s">
        <v>3099</v>
      </c>
      <c r="B45" s="240"/>
      <c r="C45" s="184">
        <f>EXP(C44)/(1+EXP(C44))</f>
        <v>0.54156373339211661</v>
      </c>
      <c r="D45" s="184">
        <f t="shared" ref="D45:L45" si="5">EXP(D44)/(1+EXP(D44))</f>
        <v>0.51384612050790146</v>
      </c>
      <c r="E45" s="184">
        <f t="shared" si="5"/>
        <v>0.3632235284812031</v>
      </c>
      <c r="F45" s="184">
        <f t="shared" si="5"/>
        <v>0.35491033426853402</v>
      </c>
      <c r="G45" s="184">
        <f t="shared" si="5"/>
        <v>0.40659733327228681</v>
      </c>
      <c r="H45" s="184">
        <f t="shared" si="5"/>
        <v>0.41999880344855883</v>
      </c>
      <c r="I45" s="184">
        <f t="shared" si="5"/>
        <v>0.20590405573947435</v>
      </c>
      <c r="J45" s="184">
        <f t="shared" si="5"/>
        <v>0.21841615785233978</v>
      </c>
      <c r="K45" s="184">
        <f t="shared" si="5"/>
        <v>0.22880498345640674</v>
      </c>
      <c r="L45" s="184">
        <f t="shared" si="5"/>
        <v>0.20211910606343184</v>
      </c>
    </row>
    <row r="46" spans="1:12" x14ac:dyDescent="0.25">
      <c r="A46" s="183"/>
      <c r="B46" s="182"/>
      <c r="C46" s="184"/>
      <c r="D46" s="184"/>
      <c r="E46" s="184"/>
      <c r="F46" s="184"/>
      <c r="G46" s="184"/>
      <c r="H46" s="184"/>
      <c r="I46" s="184"/>
      <c r="J46" s="184"/>
      <c r="K46" s="184"/>
      <c r="L46" s="184"/>
    </row>
    <row r="47" spans="1:12" x14ac:dyDescent="0.25">
      <c r="A47" s="185" t="s">
        <v>3137</v>
      </c>
      <c r="B47" s="182"/>
      <c r="C47" s="184"/>
      <c r="D47" s="184"/>
      <c r="E47" s="184"/>
      <c r="F47" s="184"/>
      <c r="G47" s="184"/>
      <c r="H47" s="184"/>
      <c r="I47" s="184"/>
      <c r="J47" s="184"/>
      <c r="K47" s="184"/>
      <c r="L47" s="184"/>
    </row>
    <row r="48" spans="1:12" x14ac:dyDescent="0.25">
      <c r="A48" s="236" t="s">
        <v>3138</v>
      </c>
      <c r="C48" s="192" t="s">
        <v>35</v>
      </c>
      <c r="D48" s="192"/>
      <c r="E48" s="192" t="s">
        <v>36</v>
      </c>
      <c r="F48" s="192"/>
      <c r="G48" s="192" t="s">
        <v>327</v>
      </c>
      <c r="H48" s="192"/>
      <c r="I48" s="192" t="s">
        <v>328</v>
      </c>
      <c r="J48" s="192"/>
      <c r="K48" s="192" t="s">
        <v>39</v>
      </c>
      <c r="L48" s="192"/>
    </row>
    <row r="49" spans="1:12" x14ac:dyDescent="0.25">
      <c r="A49" s="236"/>
      <c r="B49" s="65"/>
      <c r="C49" s="124" t="s">
        <v>330</v>
      </c>
      <c r="D49" s="124" t="s">
        <v>331</v>
      </c>
      <c r="E49" s="124" t="s">
        <v>330</v>
      </c>
      <c r="F49" s="124" t="s">
        <v>331</v>
      </c>
      <c r="G49" s="124" t="s">
        <v>330</v>
      </c>
      <c r="H49" s="124" t="s">
        <v>331</v>
      </c>
      <c r="I49" s="124" t="s">
        <v>330</v>
      </c>
      <c r="J49" s="124" t="s">
        <v>331</v>
      </c>
      <c r="K49" s="124" t="s">
        <v>330</v>
      </c>
      <c r="L49" s="124" t="s">
        <v>331</v>
      </c>
    </row>
    <row r="50" spans="1:12" x14ac:dyDescent="0.25">
      <c r="A50" s="65" t="s">
        <v>3081</v>
      </c>
      <c r="C50" s="44">
        <v>0.54917680000000002</v>
      </c>
      <c r="D50" s="44">
        <v>0.46449099999999999</v>
      </c>
      <c r="E50" s="44">
        <v>0.46296690000000001</v>
      </c>
      <c r="F50" s="44">
        <v>0.39956069999999999</v>
      </c>
      <c r="G50" s="44">
        <v>0.63195129999999999</v>
      </c>
      <c r="H50" s="44">
        <v>0.57502359999999997</v>
      </c>
      <c r="I50" s="44">
        <v>0.48983409999999999</v>
      </c>
      <c r="J50" s="44">
        <v>0.42067100000000002</v>
      </c>
      <c r="K50" s="44">
        <v>0.43548439999999999</v>
      </c>
      <c r="L50" s="44">
        <v>0.40589619999999998</v>
      </c>
    </row>
    <row r="51" spans="1:12" x14ac:dyDescent="0.25">
      <c r="A51" s="19" t="s">
        <v>3080</v>
      </c>
      <c r="C51" s="44">
        <v>-9.3731099999999998E-2</v>
      </c>
      <c r="D51" s="44">
        <v>-9.9889500000000006E-2</v>
      </c>
      <c r="E51" s="44">
        <v>-9.0277700000000002E-2</v>
      </c>
      <c r="F51" s="44">
        <v>-9.4557000000000002E-2</v>
      </c>
      <c r="G51" s="44">
        <v>-0.1009284</v>
      </c>
      <c r="H51" s="44">
        <v>-0.1062268</v>
      </c>
      <c r="I51" s="44">
        <v>-9.2686500000000005E-2</v>
      </c>
      <c r="J51" s="44">
        <v>-9.5915799999999996E-2</v>
      </c>
      <c r="K51" s="44">
        <v>-8.8154499999999997E-2</v>
      </c>
      <c r="L51" s="44">
        <v>-9.4256599999999996E-2</v>
      </c>
    </row>
    <row r="52" spans="1:12" x14ac:dyDescent="0.25">
      <c r="A52" s="65" t="s">
        <v>332</v>
      </c>
      <c r="C52" s="44">
        <v>3.5984700000000001E-2</v>
      </c>
      <c r="D52" s="44">
        <v>7.5760599999999997E-2</v>
      </c>
      <c r="E52" s="44">
        <v>0.1215214</v>
      </c>
      <c r="F52" s="44">
        <v>0.16866919999999999</v>
      </c>
      <c r="G52" s="44"/>
      <c r="H52" s="44"/>
      <c r="I52" s="44">
        <v>0.18335080000000001</v>
      </c>
      <c r="J52" s="44">
        <v>0.25881589999999999</v>
      </c>
      <c r="K52" s="44">
        <v>5.5000300000000002E-2</v>
      </c>
      <c r="L52" s="44">
        <v>2.5870299999999999E-2</v>
      </c>
    </row>
    <row r="53" spans="1:12" x14ac:dyDescent="0.25">
      <c r="A53" s="65" t="s">
        <v>341</v>
      </c>
      <c r="C53" s="44">
        <v>-0.16429650000000001</v>
      </c>
      <c r="D53" s="44">
        <v>-0.1031778</v>
      </c>
      <c r="E53" s="44">
        <v>-0.15220690000000001</v>
      </c>
      <c r="F53" s="44">
        <v>-0.1202145</v>
      </c>
      <c r="G53" s="44"/>
      <c r="H53" s="44"/>
      <c r="I53" s="44">
        <v>-0.20161100000000001</v>
      </c>
      <c r="J53" s="44">
        <v>-0.18797179999999999</v>
      </c>
      <c r="K53" s="44">
        <v>-0.1048457</v>
      </c>
      <c r="L53" s="44">
        <v>-2.9001900000000001E-2</v>
      </c>
    </row>
    <row r="54" spans="1:12" x14ac:dyDescent="0.25">
      <c r="A54" s="65" t="s">
        <v>350</v>
      </c>
      <c r="C54" s="44">
        <v>-0.14834040000000001</v>
      </c>
      <c r="D54" s="44">
        <v>-0.19907140000000001</v>
      </c>
      <c r="E54" s="44">
        <v>9.2679000000000008E-3</v>
      </c>
      <c r="F54" s="44">
        <v>-5.5556099999999997E-2</v>
      </c>
      <c r="G54" s="44">
        <v>-0.37871749999999998</v>
      </c>
      <c r="H54" s="44">
        <v>-0.46339940000000002</v>
      </c>
      <c r="I54" s="44">
        <v>9.1108000000000005E-3</v>
      </c>
      <c r="J54" s="44">
        <v>-8.6512900000000004E-2</v>
      </c>
      <c r="K54" s="44">
        <v>-2.07028E-2</v>
      </c>
      <c r="L54" s="44">
        <v>-3.7480199999999998E-2</v>
      </c>
    </row>
    <row r="55" spans="1:12" x14ac:dyDescent="0.25">
      <c r="A55" s="65" t="s">
        <v>361</v>
      </c>
      <c r="C55" s="44">
        <v>0.31335299999999999</v>
      </c>
      <c r="D55" s="44">
        <v>0.27158159999999998</v>
      </c>
      <c r="E55" s="44">
        <v>0.3113609</v>
      </c>
      <c r="F55" s="44">
        <v>0.2633566</v>
      </c>
      <c r="G55" s="44">
        <v>0.28633930000000002</v>
      </c>
      <c r="H55" s="44">
        <v>0.27428740000000001</v>
      </c>
      <c r="I55" s="44">
        <v>0.29818630000000002</v>
      </c>
      <c r="J55" s="44">
        <v>0.24771109999999999</v>
      </c>
      <c r="K55" s="44">
        <v>0.31652859999999999</v>
      </c>
      <c r="L55" s="44">
        <v>0.2801207</v>
      </c>
    </row>
    <row r="56" spans="1:12" x14ac:dyDescent="0.25">
      <c r="A56" s="65" t="s">
        <v>372</v>
      </c>
      <c r="C56" s="44">
        <v>0.62537659999999995</v>
      </c>
      <c r="D56" s="44">
        <v>0.47546369999999999</v>
      </c>
      <c r="E56" s="44">
        <v>0.58125599999999999</v>
      </c>
      <c r="F56" s="44">
        <v>0.43620360000000002</v>
      </c>
      <c r="G56" s="44">
        <v>0.76312210000000003</v>
      </c>
      <c r="H56" s="44">
        <v>0.61220799999999997</v>
      </c>
      <c r="I56" s="44">
        <v>0.63781719999999997</v>
      </c>
      <c r="J56" s="44">
        <v>0.45879969999999998</v>
      </c>
      <c r="K56" s="44">
        <v>0.530582</v>
      </c>
      <c r="L56" s="44">
        <v>0.37291790000000002</v>
      </c>
    </row>
    <row r="57" spans="1:12" ht="14.45" customHeight="1" x14ac:dyDescent="0.25">
      <c r="A57" s="65" t="s">
        <v>383</v>
      </c>
      <c r="C57" s="44">
        <v>0.31471719999999997</v>
      </c>
      <c r="D57" s="44">
        <v>0.20696719999999999</v>
      </c>
      <c r="E57" s="44">
        <v>0.26316699999999998</v>
      </c>
      <c r="F57" s="44">
        <v>0.17162330000000001</v>
      </c>
      <c r="G57" s="44">
        <v>0.3355843</v>
      </c>
      <c r="H57" s="44">
        <v>0.26149869999999997</v>
      </c>
      <c r="I57" s="44">
        <v>0.31620110000000001</v>
      </c>
      <c r="J57" s="44">
        <v>0.16772819999999999</v>
      </c>
      <c r="K57" s="44">
        <v>0.20196359999999999</v>
      </c>
      <c r="L57" s="44">
        <v>0.1649756</v>
      </c>
    </row>
    <row r="58" spans="1:12" ht="14.45" customHeight="1" x14ac:dyDescent="0.25">
      <c r="A58" s="65" t="s">
        <v>393</v>
      </c>
      <c r="C58" s="44"/>
      <c r="D58" s="44"/>
      <c r="E58" s="44"/>
      <c r="F58" s="44"/>
      <c r="G58" s="44">
        <v>6.7708400000000002E-2</v>
      </c>
      <c r="H58" s="44">
        <v>8.9545899999999998E-2</v>
      </c>
      <c r="I58" s="44"/>
      <c r="J58" s="44"/>
      <c r="K58" s="44"/>
      <c r="L58" s="44"/>
    </row>
    <row r="59" spans="1:12" ht="14.45" customHeight="1" x14ac:dyDescent="0.25">
      <c r="A59" s="65" t="s">
        <v>396</v>
      </c>
      <c r="C59" s="44"/>
      <c r="D59" s="44"/>
      <c r="E59" s="44"/>
      <c r="F59" s="44"/>
      <c r="G59" s="44">
        <v>0.2517238</v>
      </c>
      <c r="H59" s="44">
        <v>0.26324239999999999</v>
      </c>
      <c r="I59" s="44"/>
      <c r="J59" s="44"/>
      <c r="K59" s="44"/>
      <c r="L59" s="44"/>
    </row>
    <row r="60" spans="1:12" ht="14.45" customHeight="1" x14ac:dyDescent="0.25">
      <c r="A60" s="65" t="s">
        <v>399</v>
      </c>
      <c r="C60" s="44">
        <v>0.1094663</v>
      </c>
      <c r="D60" s="44">
        <v>3.3110300000000002E-2</v>
      </c>
      <c r="E60" s="44">
        <v>3.9172600000000002E-2</v>
      </c>
      <c r="F60" s="44">
        <v>-7.7528200000000005E-2</v>
      </c>
      <c r="G60" s="44">
        <v>0.1940067</v>
      </c>
      <c r="H60" s="44">
        <v>0.14304720000000001</v>
      </c>
      <c r="I60" s="44">
        <v>5.6102300000000001E-2</v>
      </c>
      <c r="J60" s="44">
        <v>-6.5486600000000006E-2</v>
      </c>
      <c r="K60" s="44">
        <v>2.1882100000000002E-2</v>
      </c>
      <c r="L60" s="44">
        <v>-5.3820199999999999E-2</v>
      </c>
    </row>
    <row r="61" spans="1:12" x14ac:dyDescent="0.25">
      <c r="A61" s="65" t="s">
        <v>410</v>
      </c>
      <c r="C61" s="44">
        <v>5.5070500000000001E-2</v>
      </c>
      <c r="D61" s="44">
        <v>5.4047400000000002E-2</v>
      </c>
      <c r="E61" s="44">
        <v>4.9295899999999997E-2</v>
      </c>
      <c r="F61" s="44">
        <v>5.6123600000000003E-2</v>
      </c>
      <c r="G61" s="44">
        <v>6.6400600000000004E-2</v>
      </c>
      <c r="H61" s="44">
        <v>5.3518400000000001E-2</v>
      </c>
      <c r="I61" s="44">
        <v>4.12012E-2</v>
      </c>
      <c r="J61" s="44">
        <v>5.3730800000000002E-2</v>
      </c>
      <c r="K61" s="44">
        <v>5.9055000000000003E-2</v>
      </c>
      <c r="L61" s="44">
        <v>5.2468899999999999E-2</v>
      </c>
    </row>
    <row r="62" spans="1:12" x14ac:dyDescent="0.25">
      <c r="A62" s="65" t="s">
        <v>420</v>
      </c>
      <c r="C62" s="44">
        <v>0.27824330000000003</v>
      </c>
      <c r="D62" s="44">
        <v>0.21899109999999999</v>
      </c>
      <c r="E62" s="44">
        <v>0.17861779999999999</v>
      </c>
      <c r="F62" s="44">
        <v>0.1319331</v>
      </c>
      <c r="G62" s="44">
        <v>0.31714360000000003</v>
      </c>
      <c r="H62" s="44">
        <v>0.24174680000000001</v>
      </c>
      <c r="I62" s="44">
        <v>0.14822669999999999</v>
      </c>
      <c r="J62" s="44">
        <v>8.6179599999999995E-2</v>
      </c>
      <c r="K62" s="44">
        <v>0.1982863</v>
      </c>
      <c r="L62" s="44">
        <v>0.15643000000000001</v>
      </c>
    </row>
    <row r="63" spans="1:12" ht="14.45" customHeight="1" x14ac:dyDescent="0.25">
      <c r="A63" s="65" t="s">
        <v>431</v>
      </c>
      <c r="C63" s="44">
        <v>-7.8623899999999997E-2</v>
      </c>
      <c r="D63" s="44">
        <v>-3.3104399999999999E-2</v>
      </c>
      <c r="E63" s="44">
        <v>1.3105800000000001E-2</v>
      </c>
      <c r="F63" s="44">
        <v>1.02428E-2</v>
      </c>
      <c r="G63" s="44"/>
      <c r="H63" s="44"/>
      <c r="I63" s="44">
        <v>3.7479800000000001E-2</v>
      </c>
      <c r="J63" s="44">
        <v>4.8272200000000001E-2</v>
      </c>
      <c r="K63" s="44">
        <v>-1.3320500000000001E-2</v>
      </c>
      <c r="L63" s="44">
        <v>-2.4804099999999999E-2</v>
      </c>
    </row>
    <row r="64" spans="1:12" ht="14.45" customHeight="1" x14ac:dyDescent="0.25">
      <c r="A64" s="65" t="s">
        <v>440</v>
      </c>
      <c r="C64" s="44">
        <v>-6.2894699999999998E-2</v>
      </c>
      <c r="D64" s="44">
        <v>-4.5339999999999998E-2</v>
      </c>
      <c r="E64" s="44">
        <v>-3.2513500000000001E-2</v>
      </c>
      <c r="F64" s="44">
        <v>-2.6929399999999999E-2</v>
      </c>
      <c r="G64" s="44">
        <v>-9.7066100000000002E-2</v>
      </c>
      <c r="H64" s="44">
        <v>-4.9857400000000003E-2</v>
      </c>
      <c r="I64" s="44">
        <v>-8.5779300000000003E-2</v>
      </c>
      <c r="J64" s="44">
        <v>-5.3792699999999999E-2</v>
      </c>
      <c r="K64" s="44">
        <v>-1.7964000000000001E-3</v>
      </c>
      <c r="L64" s="44">
        <v>1.89905E-2</v>
      </c>
    </row>
    <row r="65" spans="1:14" x14ac:dyDescent="0.25">
      <c r="A65" s="65" t="s">
        <v>451</v>
      </c>
      <c r="C65" s="44">
        <v>9.3203999999999995E-2</v>
      </c>
      <c r="D65" s="44">
        <v>0.12145350000000001</v>
      </c>
      <c r="E65" s="44">
        <v>6.1709300000000002E-2</v>
      </c>
      <c r="F65" s="44">
        <v>9.2055700000000004E-2</v>
      </c>
      <c r="G65" s="44"/>
      <c r="H65" s="44"/>
      <c r="I65" s="44">
        <v>5.0937099999999999E-2</v>
      </c>
      <c r="J65" s="44">
        <v>5.80566E-2</v>
      </c>
      <c r="K65" s="44">
        <v>6.1444600000000002E-2</v>
      </c>
      <c r="L65" s="44">
        <v>0.13059609999999999</v>
      </c>
    </row>
    <row r="66" spans="1:14" x14ac:dyDescent="0.25">
      <c r="A66" s="65" t="s">
        <v>460</v>
      </c>
      <c r="C66" s="44">
        <v>-7.1068500000000007E-2</v>
      </c>
      <c r="D66" s="44">
        <v>-4.8399499999999998E-2</v>
      </c>
      <c r="E66" s="44">
        <v>-4.8918900000000001E-2</v>
      </c>
      <c r="F66" s="44">
        <v>-2.9702099999999999E-2</v>
      </c>
      <c r="I66" s="44">
        <v>-5.99687E-2</v>
      </c>
      <c r="J66" s="44">
        <v>-5.20054E-2</v>
      </c>
      <c r="K66" s="44">
        <v>-3.31901E-2</v>
      </c>
      <c r="L66" s="44">
        <v>1.6562E-2</v>
      </c>
    </row>
    <row r="67" spans="1:14" x14ac:dyDescent="0.25">
      <c r="A67" s="65" t="s">
        <v>3079</v>
      </c>
      <c r="C67" s="44">
        <v>3.0636300000000002E-2</v>
      </c>
      <c r="D67" s="44">
        <v>1.7899700000000001E-2</v>
      </c>
      <c r="E67" s="44">
        <v>3.2107900000000002E-2</v>
      </c>
      <c r="F67" s="44">
        <v>2.17935E-2</v>
      </c>
      <c r="G67" s="44"/>
      <c r="H67" s="44"/>
      <c r="I67" s="44">
        <v>4.8156200000000003E-2</v>
      </c>
      <c r="J67" s="44">
        <v>4.7197000000000003E-2</v>
      </c>
      <c r="K67" s="44">
        <v>1.6285500000000001E-2</v>
      </c>
      <c r="L67" s="44">
        <v>-1.3688799999999999E-2</v>
      </c>
    </row>
    <row r="68" spans="1:14" x14ac:dyDescent="0.25">
      <c r="A68" s="65" t="s">
        <v>475</v>
      </c>
      <c r="C68" s="44">
        <v>-9.5145499999999994E-2</v>
      </c>
      <c r="D68" s="44">
        <v>-0.1059324</v>
      </c>
      <c r="E68" s="44">
        <v>-0.1003185</v>
      </c>
      <c r="F68" s="44">
        <v>-8.9334700000000003E-2</v>
      </c>
      <c r="G68" s="44">
        <v>-8.9623900000000006E-2</v>
      </c>
      <c r="H68" s="44">
        <v>-0.11938269999999999</v>
      </c>
      <c r="I68" s="44">
        <v>-8.2955600000000004E-2</v>
      </c>
      <c r="J68" s="44">
        <v>-7.8396499999999994E-2</v>
      </c>
      <c r="K68" s="44">
        <v>-0.1139342</v>
      </c>
      <c r="L68" s="44">
        <v>-0.1080585</v>
      </c>
    </row>
    <row r="69" spans="1:14" x14ac:dyDescent="0.25">
      <c r="A69" s="65" t="s">
        <v>481</v>
      </c>
      <c r="C69" s="44">
        <v>-0.31682310000000002</v>
      </c>
      <c r="D69" s="44">
        <v>-0.24928610000000001</v>
      </c>
      <c r="E69" s="44">
        <v>-0.26845740000000001</v>
      </c>
      <c r="F69" s="44">
        <v>-0.20814669999999999</v>
      </c>
      <c r="G69" s="44">
        <v>-0.40074300000000002</v>
      </c>
      <c r="H69" s="44">
        <v>-0.31665100000000002</v>
      </c>
      <c r="I69" s="44">
        <v>-0.27597080000000002</v>
      </c>
      <c r="J69" s="44">
        <v>-0.20858750000000001</v>
      </c>
      <c r="K69" s="44">
        <v>-0.2664475</v>
      </c>
      <c r="L69" s="44">
        <v>-0.20463590000000001</v>
      </c>
    </row>
    <row r="70" spans="1:14" x14ac:dyDescent="0.25">
      <c r="A70" s="65" t="s">
        <v>492</v>
      </c>
      <c r="C70" s="44">
        <v>-0.16363910000000001</v>
      </c>
      <c r="D70" s="44">
        <v>-0.1561543</v>
      </c>
      <c r="E70" s="44">
        <v>-0.15473010000000001</v>
      </c>
      <c r="F70" s="44">
        <v>-0.15427160000000001</v>
      </c>
      <c r="G70" s="44">
        <v>-0.2042041</v>
      </c>
      <c r="H70" s="44">
        <v>-0.20461219999999999</v>
      </c>
      <c r="I70" s="44">
        <v>-0.15356719999999999</v>
      </c>
      <c r="J70" s="44">
        <v>-0.17335139999999999</v>
      </c>
      <c r="K70" s="44">
        <v>-0.17005529999999999</v>
      </c>
      <c r="L70" s="44">
        <v>-0.13111970000000001</v>
      </c>
    </row>
    <row r="71" spans="1:14" x14ac:dyDescent="0.25">
      <c r="A71" s="65" t="s">
        <v>501</v>
      </c>
      <c r="E71" s="44"/>
      <c r="F71" s="44"/>
      <c r="G71" s="44">
        <v>-5.4698999999999998E-3</v>
      </c>
      <c r="H71" s="44">
        <v>-2.16878E-2</v>
      </c>
      <c r="I71" s="44"/>
      <c r="J71" s="44"/>
      <c r="K71" s="44"/>
      <c r="L71" s="44"/>
    </row>
    <row r="72" spans="1:14" x14ac:dyDescent="0.25">
      <c r="A72" s="65" t="s">
        <v>504</v>
      </c>
      <c r="C72" s="44">
        <v>-0.1265483</v>
      </c>
      <c r="D72" s="44">
        <v>-0.1012429</v>
      </c>
      <c r="E72" s="44">
        <v>-0.1130703</v>
      </c>
      <c r="F72" s="44">
        <v>-5.9725399999999998E-2</v>
      </c>
      <c r="G72" s="44">
        <v>-0.13602</v>
      </c>
      <c r="H72" s="44">
        <v>-0.11656370000000001</v>
      </c>
      <c r="I72" s="44">
        <v>-9.5718300000000006E-2</v>
      </c>
      <c r="J72" s="44">
        <v>-1.29715E-2</v>
      </c>
      <c r="K72" s="44">
        <v>-0.1177106</v>
      </c>
      <c r="L72" s="44">
        <v>-0.11221390000000001</v>
      </c>
    </row>
    <row r="73" spans="1:14" x14ac:dyDescent="0.25">
      <c r="A73" s="65" t="s">
        <v>3144</v>
      </c>
      <c r="C73" s="44">
        <v>0.1142251</v>
      </c>
      <c r="D73" s="44">
        <v>0.1007571</v>
      </c>
      <c r="E73" s="44">
        <v>9.03471E-2</v>
      </c>
      <c r="F73" s="44">
        <v>6.8487199999999998E-2</v>
      </c>
      <c r="G73" s="44">
        <v>0.14860280000000001</v>
      </c>
      <c r="H73" s="44">
        <v>0.13664519999999999</v>
      </c>
      <c r="I73" s="44">
        <v>9.7952200000000003E-2</v>
      </c>
      <c r="J73" s="44">
        <v>6.0943299999999999E-2</v>
      </c>
      <c r="K73" s="44">
        <v>8.0619399999999994E-2</v>
      </c>
      <c r="L73" s="44">
        <v>7.9375600000000004E-2</v>
      </c>
    </row>
    <row r="74" spans="1:14" x14ac:dyDescent="0.25">
      <c r="A74" s="65" t="s">
        <v>3145</v>
      </c>
      <c r="C74" s="44">
        <v>-5.5862999999999998E-3</v>
      </c>
      <c r="D74" s="44">
        <v>5.7245600000000001E-2</v>
      </c>
      <c r="E74" s="44">
        <v>-1.4581800000000001E-2</v>
      </c>
      <c r="F74" s="44">
        <v>1.9396199999999999E-2</v>
      </c>
      <c r="G74" s="44">
        <v>1.1608E-2</v>
      </c>
      <c r="H74" s="44">
        <v>0.1078355</v>
      </c>
      <c r="I74" s="44">
        <v>1.28614E-2</v>
      </c>
      <c r="J74" s="44">
        <v>3.2487500000000002E-2</v>
      </c>
      <c r="K74" s="44">
        <v>-4.90149E-2</v>
      </c>
      <c r="L74" s="44">
        <v>2.5522000000000001E-3</v>
      </c>
    </row>
    <row r="75" spans="1:14" x14ac:dyDescent="0.25">
      <c r="A75" s="65" t="s">
        <v>2395</v>
      </c>
      <c r="C75" s="44">
        <v>-1.5837380000000001</v>
      </c>
      <c r="D75" s="44">
        <v>-1.3987270000000001</v>
      </c>
      <c r="E75" s="44">
        <v>-2.1788880000000002</v>
      </c>
      <c r="F75" s="44">
        <v>-1.8734489999999999</v>
      </c>
      <c r="G75" s="44">
        <v>-2.5389520000000001</v>
      </c>
      <c r="H75" s="44">
        <v>-2.3148719999999998</v>
      </c>
      <c r="I75" s="44">
        <v>-2.9588719999999999</v>
      </c>
      <c r="J75" s="44">
        <v>-2.5052629999999998</v>
      </c>
      <c r="K75" s="44">
        <v>-2.7800530000000001</v>
      </c>
      <c r="L75" s="44">
        <v>-2.6197810000000001</v>
      </c>
    </row>
    <row r="76" spans="1:14" ht="58.35" customHeight="1" x14ac:dyDescent="0.25">
      <c r="A76" s="239" t="s">
        <v>3139</v>
      </c>
      <c r="B76" s="239"/>
      <c r="C76" s="239"/>
      <c r="D76" s="239"/>
      <c r="E76" s="239"/>
      <c r="F76" s="239"/>
      <c r="G76" s="239"/>
      <c r="H76" s="239"/>
      <c r="I76" s="239"/>
      <c r="J76" s="239"/>
      <c r="K76" s="239"/>
      <c r="L76" s="239"/>
      <c r="M76" s="186"/>
      <c r="N76" s="186"/>
    </row>
    <row r="77" spans="1:14" x14ac:dyDescent="0.25">
      <c r="A77" s="33" t="s">
        <v>3140</v>
      </c>
      <c r="B77" s="65"/>
      <c r="C77" s="44">
        <v>0.99139999999999995</v>
      </c>
      <c r="D77" s="118">
        <v>0.97609999999999997</v>
      </c>
      <c r="E77" s="44">
        <v>0.99129999999999996</v>
      </c>
      <c r="F77" s="44">
        <v>0.97389999999999999</v>
      </c>
      <c r="G77" s="44">
        <v>0.99319999999999997</v>
      </c>
      <c r="H77" s="44">
        <v>0.98629999999999995</v>
      </c>
      <c r="I77" s="44">
        <v>0.99250000000000005</v>
      </c>
      <c r="J77" s="44">
        <v>0.97770000000000001</v>
      </c>
      <c r="K77" s="44">
        <v>0.99080000000000001</v>
      </c>
      <c r="L77" s="44">
        <v>0.97409999999999997</v>
      </c>
    </row>
    <row r="78" spans="1:14" x14ac:dyDescent="0.25">
      <c r="E78" s="44"/>
      <c r="F78" s="118"/>
      <c r="G78" s="44"/>
      <c r="H78" s="44"/>
      <c r="I78" s="44"/>
      <c r="J78" s="44"/>
      <c r="K78" s="44"/>
      <c r="L78" s="44"/>
      <c r="M78" s="44"/>
      <c r="N78" s="44"/>
    </row>
    <row r="79" spans="1:14" x14ac:dyDescent="0.25">
      <c r="A79" s="65" t="s">
        <v>3169</v>
      </c>
      <c r="B79" s="65"/>
      <c r="C79" s="65"/>
      <c r="D79" s="65"/>
      <c r="E79" s="44"/>
      <c r="F79" s="118"/>
      <c r="G79" s="44"/>
      <c r="H79" s="44"/>
      <c r="I79" s="44"/>
      <c r="J79" s="44"/>
      <c r="K79" s="44"/>
      <c r="L79" s="44"/>
      <c r="M79" s="44"/>
      <c r="N79" s="44"/>
    </row>
    <row r="80" spans="1:14" x14ac:dyDescent="0.25">
      <c r="A80" s="65" t="s">
        <v>2397</v>
      </c>
      <c r="B80" s="65"/>
      <c r="C80" s="118">
        <v>1.028</v>
      </c>
      <c r="D80" s="44">
        <v>1.0184</v>
      </c>
      <c r="E80" s="44">
        <v>1.038</v>
      </c>
      <c r="F80" s="118">
        <v>1.0106999999999999</v>
      </c>
      <c r="G80" s="44">
        <v>1.0122</v>
      </c>
      <c r="H80" s="44">
        <v>1.0026999999999999</v>
      </c>
      <c r="I80" s="44">
        <v>1.0158</v>
      </c>
      <c r="J80" s="44">
        <v>0.99829999999999997</v>
      </c>
      <c r="K80" s="44">
        <v>1.0507</v>
      </c>
      <c r="L80" s="44">
        <v>1.0187999999999999</v>
      </c>
    </row>
    <row r="81" spans="1:12" x14ac:dyDescent="0.25">
      <c r="A81" s="65" t="s">
        <v>2396</v>
      </c>
      <c r="B81" s="65"/>
      <c r="C81" s="118">
        <v>0.67230000000000001</v>
      </c>
      <c r="D81" s="118">
        <v>0.99829999999999997</v>
      </c>
      <c r="E81" s="118">
        <v>0.99950000000000006</v>
      </c>
      <c r="F81" s="118">
        <v>0.99880000000000002</v>
      </c>
      <c r="G81" s="118">
        <v>0.40620000000000001</v>
      </c>
      <c r="H81" s="118">
        <v>0.997</v>
      </c>
      <c r="I81" s="118">
        <v>0.99919999999999998</v>
      </c>
      <c r="J81" s="118">
        <v>0.99880000000000002</v>
      </c>
      <c r="K81" s="118">
        <v>0.99929999999999997</v>
      </c>
      <c r="L81" s="118">
        <v>0.99860000000000004</v>
      </c>
    </row>
  </sheetData>
  <mergeCells count="21">
    <mergeCell ref="E3:N3"/>
    <mergeCell ref="E4:F4"/>
    <mergeCell ref="G4:H4"/>
    <mergeCell ref="I4:J4"/>
    <mergeCell ref="K4:L4"/>
    <mergeCell ref="M4:N4"/>
    <mergeCell ref="A76:L76"/>
    <mergeCell ref="K17:L17"/>
    <mergeCell ref="B44:B45"/>
    <mergeCell ref="A48:A49"/>
    <mergeCell ref="C48:D48"/>
    <mergeCell ref="E48:F48"/>
    <mergeCell ref="G48:H48"/>
    <mergeCell ref="I48:J48"/>
    <mergeCell ref="K48:L48"/>
    <mergeCell ref="A17:A18"/>
    <mergeCell ref="B17:B18"/>
    <mergeCell ref="C17:D17"/>
    <mergeCell ref="E17:F17"/>
    <mergeCell ref="G17:H17"/>
    <mergeCell ref="I17:J17"/>
  </mergeCells>
  <pageMargins left="0.25" right="0.25" top="0.75" bottom="0.75" header="0.3" footer="0.3"/>
  <pageSetup scale="88" orientation="landscape" horizontalDpi="1200" verticalDpi="12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89F33-720C-47AD-AAD2-4AC3D86C6A5E}">
  <sheetPr>
    <pageSetUpPr fitToPage="1"/>
  </sheetPr>
  <dimension ref="A1:N83"/>
  <sheetViews>
    <sheetView topLeftCell="A64" workbookViewId="0">
      <selection activeCell="A81" sqref="A81"/>
    </sheetView>
  </sheetViews>
  <sheetFormatPr defaultColWidth="8.85546875" defaultRowHeight="15" x14ac:dyDescent="0.25"/>
  <cols>
    <col min="1" max="1" width="48.42578125" style="33" customWidth="1"/>
    <col min="2" max="2" width="23.85546875" style="33" customWidth="1"/>
    <col min="3" max="3" width="11.5703125" style="33" customWidth="1"/>
    <col min="4" max="12" width="11.42578125" style="33" customWidth="1"/>
    <col min="13" max="14" width="11.140625" style="33" customWidth="1"/>
    <col min="15" max="16384" width="8.85546875" style="33"/>
  </cols>
  <sheetData>
    <row r="1" spans="1:14" x14ac:dyDescent="0.25">
      <c r="A1" s="65" t="s">
        <v>3155</v>
      </c>
      <c r="B1" s="65"/>
      <c r="C1" s="65"/>
      <c r="D1" s="65"/>
    </row>
    <row r="2" spans="1:14" ht="15.75" thickBot="1" x14ac:dyDescent="0.3">
      <c r="A2" s="65"/>
      <c r="B2" s="65"/>
      <c r="C2" s="65"/>
      <c r="D2" s="65"/>
    </row>
    <row r="3" spans="1:14" x14ac:dyDescent="0.25">
      <c r="A3" s="166" t="s">
        <v>3108</v>
      </c>
      <c r="B3" s="167" t="s">
        <v>3082</v>
      </c>
      <c r="C3" s="168" t="s">
        <v>3107</v>
      </c>
      <c r="D3" s="65"/>
      <c r="E3" s="241" t="s">
        <v>3152</v>
      </c>
      <c r="F3" s="242"/>
      <c r="G3" s="242"/>
      <c r="H3" s="242"/>
      <c r="I3" s="242"/>
      <c r="J3" s="242"/>
      <c r="K3" s="242"/>
      <c r="L3" s="242"/>
      <c r="M3" s="242"/>
      <c r="N3" s="243"/>
    </row>
    <row r="4" spans="1:14" x14ac:dyDescent="0.25">
      <c r="A4" s="169" t="s">
        <v>3112</v>
      </c>
      <c r="B4" s="33" t="s">
        <v>3083</v>
      </c>
      <c r="C4" s="170">
        <v>50</v>
      </c>
      <c r="D4" s="65"/>
      <c r="E4" s="244" t="s">
        <v>35</v>
      </c>
      <c r="F4" s="192"/>
      <c r="G4" s="192" t="s">
        <v>36</v>
      </c>
      <c r="H4" s="192"/>
      <c r="I4" s="192" t="s">
        <v>327</v>
      </c>
      <c r="J4" s="192"/>
      <c r="K4" s="192" t="s">
        <v>328</v>
      </c>
      <c r="L4" s="192"/>
      <c r="M4" s="192" t="s">
        <v>39</v>
      </c>
      <c r="N4" s="245"/>
    </row>
    <row r="5" spans="1:14" x14ac:dyDescent="0.25">
      <c r="A5" s="169" t="s">
        <v>3113</v>
      </c>
      <c r="B5" s="33" t="s">
        <v>3084</v>
      </c>
      <c r="C5" s="170">
        <v>200</v>
      </c>
      <c r="D5" s="65"/>
      <c r="E5" s="171" t="s">
        <v>330</v>
      </c>
      <c r="F5" s="124" t="s">
        <v>331</v>
      </c>
      <c r="G5" s="124" t="s">
        <v>330</v>
      </c>
      <c r="H5" s="124" t="s">
        <v>331</v>
      </c>
      <c r="I5" s="124" t="s">
        <v>330</v>
      </c>
      <c r="J5" s="124" t="s">
        <v>331</v>
      </c>
      <c r="K5" s="124" t="s">
        <v>330</v>
      </c>
      <c r="L5" s="124" t="s">
        <v>331</v>
      </c>
      <c r="M5" s="124" t="s">
        <v>330</v>
      </c>
      <c r="N5" s="172" t="s">
        <v>331</v>
      </c>
    </row>
    <row r="6" spans="1:14" ht="15.75" thickBot="1" x14ac:dyDescent="0.3">
      <c r="A6" s="169" t="s">
        <v>3114</v>
      </c>
      <c r="B6" s="33" t="s">
        <v>3085</v>
      </c>
      <c r="C6" s="170">
        <v>45</v>
      </c>
      <c r="D6" s="65"/>
      <c r="E6" s="173">
        <f>C46</f>
        <v>0.50062119189455945</v>
      </c>
      <c r="F6" s="174">
        <f t="shared" ref="F6:N6" si="0">D46</f>
        <v>0.49111164947962171</v>
      </c>
      <c r="G6" s="174">
        <f t="shared" si="0"/>
        <v>0.32238789906475523</v>
      </c>
      <c r="H6" s="174">
        <f t="shared" si="0"/>
        <v>0.3174732107885912</v>
      </c>
      <c r="I6" s="174">
        <f t="shared" si="0"/>
        <v>0.38921345951338449</v>
      </c>
      <c r="J6" s="174">
        <f t="shared" si="0"/>
        <v>0.41057199291956664</v>
      </c>
      <c r="K6" s="174">
        <f t="shared" si="0"/>
        <v>0.18211219465582462</v>
      </c>
      <c r="L6" s="174">
        <f t="shared" si="0"/>
        <v>0.19207253184632295</v>
      </c>
      <c r="M6" s="174">
        <f t="shared" si="0"/>
        <v>0.18828025719410829</v>
      </c>
      <c r="N6" s="175">
        <f t="shared" si="0"/>
        <v>0.17543043640959111</v>
      </c>
    </row>
    <row r="7" spans="1:14" x14ac:dyDescent="0.25">
      <c r="A7" s="176" t="s">
        <v>3115</v>
      </c>
      <c r="B7" s="156" t="s">
        <v>3086</v>
      </c>
      <c r="C7" s="170">
        <v>160</v>
      </c>
      <c r="D7" s="65"/>
      <c r="E7" s="33" t="s">
        <v>3159</v>
      </c>
    </row>
    <row r="8" spans="1:14" x14ac:dyDescent="0.25">
      <c r="A8" s="169" t="s">
        <v>3087</v>
      </c>
      <c r="B8" s="177" t="s">
        <v>3088</v>
      </c>
      <c r="C8" s="170">
        <v>1</v>
      </c>
      <c r="D8" s="65"/>
    </row>
    <row r="9" spans="1:14" x14ac:dyDescent="0.25">
      <c r="A9" s="169" t="s">
        <v>3116</v>
      </c>
      <c r="B9" s="177" t="s">
        <v>3088</v>
      </c>
      <c r="C9" s="170">
        <v>0</v>
      </c>
      <c r="D9" s="65"/>
    </row>
    <row r="10" spans="1:14" ht="14.45" customHeight="1" x14ac:dyDescent="0.25">
      <c r="A10" s="178" t="s">
        <v>3117</v>
      </c>
      <c r="B10" s="156" t="s">
        <v>3118</v>
      </c>
      <c r="C10" s="170">
        <v>35</v>
      </c>
      <c r="D10" s="65"/>
      <c r="E10" s="118"/>
      <c r="F10" s="118"/>
      <c r="G10" s="118"/>
      <c r="H10" s="118"/>
      <c r="I10" s="118"/>
      <c r="J10" s="118"/>
      <c r="K10" s="118"/>
      <c r="L10" s="118"/>
      <c r="M10" s="118"/>
      <c r="N10" s="118"/>
    </row>
    <row r="11" spans="1:14" ht="14.45" customHeight="1" x14ac:dyDescent="0.25">
      <c r="A11" s="176" t="s">
        <v>3119</v>
      </c>
      <c r="B11" s="156" t="s">
        <v>3120</v>
      </c>
      <c r="C11" s="170">
        <v>90</v>
      </c>
      <c r="D11" s="65"/>
      <c r="E11" s="118"/>
      <c r="F11" s="118"/>
      <c r="G11" s="118"/>
      <c r="H11" s="118"/>
      <c r="I11" s="118"/>
      <c r="J11" s="118"/>
      <c r="K11" s="118"/>
      <c r="L11" s="118"/>
      <c r="M11" s="118"/>
      <c r="N11" s="118"/>
    </row>
    <row r="12" spans="1:14" x14ac:dyDescent="0.25">
      <c r="A12" s="169" t="s">
        <v>3121</v>
      </c>
      <c r="B12" s="177" t="s">
        <v>3088</v>
      </c>
      <c r="C12" s="170">
        <v>1</v>
      </c>
      <c r="D12" s="65"/>
      <c r="E12" s="118"/>
      <c r="F12" s="118"/>
      <c r="G12" s="118"/>
      <c r="H12" s="118"/>
      <c r="I12" s="118"/>
      <c r="J12" s="118"/>
      <c r="K12" s="118"/>
      <c r="L12" s="118"/>
      <c r="M12" s="118"/>
      <c r="N12" s="118"/>
    </row>
    <row r="13" spans="1:14" x14ac:dyDescent="0.25">
      <c r="A13" s="169" t="s">
        <v>3089</v>
      </c>
      <c r="B13" s="177" t="s">
        <v>3088</v>
      </c>
      <c r="C13" s="170">
        <v>0</v>
      </c>
      <c r="D13" s="65"/>
      <c r="E13" s="118"/>
      <c r="F13" s="118"/>
      <c r="G13" s="118"/>
      <c r="H13" s="118"/>
      <c r="I13" s="118"/>
      <c r="J13" s="118"/>
      <c r="K13" s="118"/>
      <c r="L13" s="118"/>
      <c r="M13" s="118"/>
      <c r="N13" s="118"/>
    </row>
    <row r="14" spans="1:14" ht="15.75" thickBot="1" x14ac:dyDescent="0.3">
      <c r="A14" s="179" t="s">
        <v>3147</v>
      </c>
      <c r="B14" s="187" t="s">
        <v>3101</v>
      </c>
      <c r="C14" s="181">
        <v>7.5</v>
      </c>
      <c r="D14" s="65"/>
      <c r="E14" s="118"/>
      <c r="F14" s="118"/>
      <c r="G14" s="118"/>
      <c r="H14" s="118"/>
      <c r="I14" s="118"/>
      <c r="J14" s="118"/>
      <c r="K14" s="118"/>
      <c r="L14" s="118"/>
      <c r="M14" s="118"/>
      <c r="N14" s="118"/>
    </row>
    <row r="15" spans="1:14" x14ac:dyDescent="0.25">
      <c r="A15" s="65"/>
      <c r="B15" s="65"/>
      <c r="C15" s="65"/>
      <c r="D15" s="65"/>
      <c r="E15" s="118"/>
      <c r="F15" s="118"/>
      <c r="G15" s="118"/>
      <c r="H15" s="118"/>
      <c r="I15" s="118"/>
      <c r="J15" s="118"/>
      <c r="K15" s="118"/>
      <c r="L15" s="118"/>
      <c r="M15" s="118"/>
      <c r="N15" s="118"/>
    </row>
    <row r="16" spans="1:14" x14ac:dyDescent="0.25">
      <c r="A16" s="65" t="s">
        <v>3122</v>
      </c>
      <c r="B16" s="65"/>
      <c r="C16" s="65"/>
      <c r="D16" s="65"/>
      <c r="E16" s="118"/>
      <c r="F16" s="118"/>
      <c r="G16" s="118"/>
      <c r="H16" s="118"/>
      <c r="I16" s="118"/>
      <c r="J16" s="118"/>
      <c r="K16" s="118"/>
      <c r="L16" s="118"/>
      <c r="M16" s="118"/>
      <c r="N16" s="118"/>
    </row>
    <row r="17" spans="1:12" ht="15" customHeight="1" x14ac:dyDescent="0.25">
      <c r="A17" s="236" t="s">
        <v>3168</v>
      </c>
      <c r="B17" s="236" t="s">
        <v>3109</v>
      </c>
      <c r="C17" s="192" t="s">
        <v>35</v>
      </c>
      <c r="D17" s="192"/>
      <c r="E17" s="192" t="s">
        <v>36</v>
      </c>
      <c r="F17" s="192"/>
      <c r="G17" s="192" t="s">
        <v>327</v>
      </c>
      <c r="H17" s="192"/>
      <c r="I17" s="192" t="s">
        <v>328</v>
      </c>
      <c r="J17" s="192"/>
      <c r="K17" s="192" t="s">
        <v>39</v>
      </c>
      <c r="L17" s="192"/>
    </row>
    <row r="18" spans="1:12" x14ac:dyDescent="0.25">
      <c r="A18" s="236"/>
      <c r="B18" s="236"/>
      <c r="C18" s="124" t="s">
        <v>330</v>
      </c>
      <c r="D18" s="124" t="s">
        <v>331</v>
      </c>
      <c r="E18" s="124" t="s">
        <v>330</v>
      </c>
      <c r="F18" s="124" t="s">
        <v>331</v>
      </c>
      <c r="G18" s="124" t="s">
        <v>330</v>
      </c>
      <c r="H18" s="124" t="s">
        <v>331</v>
      </c>
      <c r="I18" s="124" t="s">
        <v>330</v>
      </c>
      <c r="J18" s="124" t="s">
        <v>331</v>
      </c>
      <c r="K18" s="124" t="s">
        <v>330</v>
      </c>
      <c r="L18" s="124" t="s">
        <v>331</v>
      </c>
    </row>
    <row r="19" spans="1:12" x14ac:dyDescent="0.25">
      <c r="A19" s="33" t="s">
        <v>3123</v>
      </c>
      <c r="B19" s="177">
        <f>IF(AND(C4&gt;=30,C4&lt;80),(C4-55)/10, "out of range")</f>
        <v>-0.5</v>
      </c>
      <c r="C19" s="177">
        <f t="shared" ref="C19:L34" si="1">$B19*C51</f>
        <v>-0.26717465000000001</v>
      </c>
      <c r="D19" s="177">
        <f t="shared" si="1"/>
        <v>-0.22599364999999999</v>
      </c>
      <c r="E19" s="177">
        <f t="shared" si="1"/>
        <v>-0.2277787</v>
      </c>
      <c r="F19" s="177">
        <f t="shared" si="1"/>
        <v>-0.19416335000000001</v>
      </c>
      <c r="G19" s="177">
        <f t="shared" si="1"/>
        <v>-0.31054280000000001</v>
      </c>
      <c r="H19" s="177">
        <f t="shared" si="1"/>
        <v>-0.28518644999999998</v>
      </c>
      <c r="I19" s="177">
        <f t="shared" si="1"/>
        <v>-0.24265935</v>
      </c>
      <c r="J19" s="177">
        <f t="shared" si="1"/>
        <v>-0.1972254</v>
      </c>
      <c r="K19" s="177">
        <f t="shared" si="1"/>
        <v>-0.21483395</v>
      </c>
      <c r="L19" s="177">
        <f t="shared" si="1"/>
        <v>-0.19870099999999999</v>
      </c>
    </row>
    <row r="20" spans="1:12" x14ac:dyDescent="0.25">
      <c r="A20" s="33" t="s">
        <v>3153</v>
      </c>
      <c r="B20" s="10">
        <f>B19^2</f>
        <v>0.25</v>
      </c>
      <c r="C20" s="177">
        <f t="shared" si="1"/>
        <v>-2.3807849999999998E-2</v>
      </c>
      <c r="D20" s="177">
        <f t="shared" si="1"/>
        <v>-2.5406000000000001E-2</v>
      </c>
      <c r="E20" s="177">
        <f t="shared" si="1"/>
        <v>-2.2587525000000001E-2</v>
      </c>
      <c r="F20" s="177">
        <f t="shared" si="1"/>
        <v>-2.3952850000000001E-2</v>
      </c>
      <c r="G20" s="177">
        <f t="shared" si="1"/>
        <v>-2.5024299999999999E-2</v>
      </c>
      <c r="H20" s="177">
        <f t="shared" si="1"/>
        <v>-2.7113600000000002E-2</v>
      </c>
      <c r="I20" s="177">
        <f t="shared" si="1"/>
        <v>-2.3241350000000001E-2</v>
      </c>
      <c r="J20" s="177">
        <f t="shared" si="1"/>
        <v>-2.3921425E-2</v>
      </c>
      <c r="K20" s="177">
        <f t="shared" si="1"/>
        <v>-2.2077949999999999E-2</v>
      </c>
      <c r="L20" s="177">
        <f t="shared" si="1"/>
        <v>-2.3835624999999999E-2</v>
      </c>
    </row>
    <row r="21" spans="1:12" x14ac:dyDescent="0.25">
      <c r="A21" s="33" t="s">
        <v>3124</v>
      </c>
      <c r="B21" s="177">
        <f>IF(AND(C5&gt;=130,C5&lt;=320,C6&gt;=20,C6&lt;=100),(C5-C6)*0.02586-3.5,"out of range")</f>
        <v>0.5083000000000002</v>
      </c>
      <c r="C21" s="177">
        <f t="shared" si="1"/>
        <v>1.5153642920000005E-2</v>
      </c>
      <c r="D21" s="177">
        <f t="shared" si="1"/>
        <v>3.5604178480000012E-2</v>
      </c>
      <c r="E21" s="177">
        <f t="shared" si="1"/>
        <v>5.8369156430000027E-2</v>
      </c>
      <c r="F21" s="177">
        <f t="shared" si="1"/>
        <v>8.2007800420000027E-2</v>
      </c>
      <c r="G21" s="177">
        <f t="shared" si="1"/>
        <v>0</v>
      </c>
      <c r="H21" s="177">
        <f t="shared" si="1"/>
        <v>0</v>
      </c>
      <c r="I21" s="177">
        <f t="shared" si="1"/>
        <v>8.8096116160000029E-2</v>
      </c>
      <c r="J21" s="177">
        <f t="shared" si="1"/>
        <v>0.12805932295000005</v>
      </c>
      <c r="K21" s="177">
        <f t="shared" si="1"/>
        <v>2.4770526430000009E-2</v>
      </c>
      <c r="L21" s="177">
        <f t="shared" si="1"/>
        <v>9.1596676600000041E-3</v>
      </c>
    </row>
    <row r="22" spans="1:12" x14ac:dyDescent="0.25">
      <c r="A22" s="33" t="s">
        <v>3125</v>
      </c>
      <c r="B22" s="177">
        <f>IF(AND(C6&gt;=20,C6&lt;=100),(C6*0.02586-1.3)/0.3,"out of range")</f>
        <v>-0.45433333333333364</v>
      </c>
      <c r="C22" s="177">
        <f t="shared" si="1"/>
        <v>7.1714290433333383E-2</v>
      </c>
      <c r="D22" s="177">
        <f t="shared" si="1"/>
        <v>4.3979693833333361E-2</v>
      </c>
      <c r="E22" s="177">
        <f t="shared" si="1"/>
        <v>6.627605673333338E-2</v>
      </c>
      <c r="F22" s="177">
        <f t="shared" si="1"/>
        <v>5.1994724466666697E-2</v>
      </c>
      <c r="G22" s="177">
        <f t="shared" si="1"/>
        <v>0</v>
      </c>
      <c r="H22" s="177">
        <f t="shared" si="1"/>
        <v>0</v>
      </c>
      <c r="I22" s="177">
        <f t="shared" si="1"/>
        <v>8.7661435866666734E-2</v>
      </c>
      <c r="J22" s="177">
        <f t="shared" si="1"/>
        <v>8.2634601000000057E-2</v>
      </c>
      <c r="K22" s="177">
        <f t="shared" si="1"/>
        <v>4.5497212600000031E-2</v>
      </c>
      <c r="L22" s="177">
        <f t="shared" si="1"/>
        <v>1.1019128066666675E-2</v>
      </c>
    </row>
    <row r="23" spans="1:12" x14ac:dyDescent="0.25">
      <c r="A23" s="33" t="s">
        <v>3090</v>
      </c>
      <c r="B23" s="177">
        <f>IF(AND(C7&gt;=90,C7&lt;=200),(MIN(C7,110)-110)/20,"out of range")</f>
        <v>0</v>
      </c>
      <c r="C23" s="177">
        <f t="shared" si="1"/>
        <v>0</v>
      </c>
      <c r="D23" s="177">
        <f t="shared" si="1"/>
        <v>0</v>
      </c>
      <c r="E23" s="177">
        <f t="shared" si="1"/>
        <v>0</v>
      </c>
      <c r="F23" s="177">
        <f t="shared" si="1"/>
        <v>0</v>
      </c>
      <c r="G23" s="177">
        <f t="shared" si="1"/>
        <v>0</v>
      </c>
      <c r="H23" s="177">
        <f t="shared" si="1"/>
        <v>0</v>
      </c>
      <c r="I23" s="177">
        <f t="shared" si="1"/>
        <v>0</v>
      </c>
      <c r="J23" s="177">
        <f t="shared" si="1"/>
        <v>0</v>
      </c>
      <c r="K23" s="177">
        <f t="shared" si="1"/>
        <v>0</v>
      </c>
      <c r="L23" s="177">
        <f t="shared" si="1"/>
        <v>0</v>
      </c>
    </row>
    <row r="24" spans="1:12" x14ac:dyDescent="0.25">
      <c r="A24" s="33" t="s">
        <v>3091</v>
      </c>
      <c r="B24" s="177">
        <f>IF(AND(C7&gt;=90,C7&lt;=200),(MAX(C7,110)-130)/20,"out of range")</f>
        <v>1.5</v>
      </c>
      <c r="C24" s="177">
        <f t="shared" si="1"/>
        <v>0.47600519999999996</v>
      </c>
      <c r="D24" s="177">
        <f t="shared" si="1"/>
        <v>0.42405645000000003</v>
      </c>
      <c r="E24" s="177">
        <f t="shared" si="1"/>
        <v>0.47085434999999998</v>
      </c>
      <c r="F24" s="177">
        <f t="shared" si="1"/>
        <v>0.40369214999999997</v>
      </c>
      <c r="G24" s="177">
        <f t="shared" si="1"/>
        <v>0.44297400000000003</v>
      </c>
      <c r="H24" s="177">
        <f t="shared" si="1"/>
        <v>0.43652279999999999</v>
      </c>
      <c r="I24" s="177">
        <f t="shared" si="1"/>
        <v>0.44736600000000004</v>
      </c>
      <c r="J24" s="177">
        <f t="shared" si="1"/>
        <v>0.38018940000000001</v>
      </c>
      <c r="K24" s="177">
        <f t="shared" si="1"/>
        <v>0.47975730000000005</v>
      </c>
      <c r="L24" s="177">
        <f t="shared" si="1"/>
        <v>0.43059614999999996</v>
      </c>
    </row>
    <row r="25" spans="1:12" x14ac:dyDescent="0.25">
      <c r="A25" s="33" t="s">
        <v>372</v>
      </c>
      <c r="B25" s="177">
        <f>IF(OR(C8=0,C8=1),C8,"out of range")</f>
        <v>1</v>
      </c>
      <c r="C25" s="177">
        <f t="shared" si="1"/>
        <v>0.43147380000000002</v>
      </c>
      <c r="D25" s="177">
        <f t="shared" si="1"/>
        <v>0.3417152</v>
      </c>
      <c r="E25" s="177">
        <f t="shared" si="1"/>
        <v>0.38628099999999999</v>
      </c>
      <c r="F25" s="177">
        <f t="shared" si="1"/>
        <v>0.28597729999999999</v>
      </c>
      <c r="G25" s="177">
        <f t="shared" si="1"/>
        <v>0.56816920000000004</v>
      </c>
      <c r="H25" s="177">
        <f t="shared" si="1"/>
        <v>0.45072420000000002</v>
      </c>
      <c r="I25" s="177">
        <f t="shared" si="1"/>
        <v>0.42102889999999998</v>
      </c>
      <c r="J25" s="177">
        <f t="shared" si="1"/>
        <v>0.32982020000000001</v>
      </c>
      <c r="K25" s="177">
        <f t="shared" si="1"/>
        <v>0.32709640000000001</v>
      </c>
      <c r="L25" s="177">
        <f t="shared" si="1"/>
        <v>0.18944069999999999</v>
      </c>
    </row>
    <row r="26" spans="1:12" x14ac:dyDescent="0.25">
      <c r="A26" s="33" t="s">
        <v>3126</v>
      </c>
      <c r="B26" s="177">
        <f>IF(OR(C9=0,C9=1),C9,"out of range")</f>
        <v>0</v>
      </c>
      <c r="C26" s="177">
        <f t="shared" si="1"/>
        <v>0</v>
      </c>
      <c r="D26" s="177">
        <f t="shared" si="1"/>
        <v>0</v>
      </c>
      <c r="E26" s="177">
        <f t="shared" si="1"/>
        <v>0</v>
      </c>
      <c r="F26" s="177">
        <f t="shared" si="1"/>
        <v>0</v>
      </c>
      <c r="G26" s="177">
        <f t="shared" si="1"/>
        <v>0</v>
      </c>
      <c r="H26" s="177">
        <f t="shared" si="1"/>
        <v>0</v>
      </c>
      <c r="I26" s="177">
        <f t="shared" si="1"/>
        <v>0</v>
      </c>
      <c r="J26" s="177">
        <f t="shared" si="1"/>
        <v>0</v>
      </c>
      <c r="K26" s="177">
        <f t="shared" si="1"/>
        <v>0</v>
      </c>
      <c r="L26" s="177">
        <f t="shared" si="1"/>
        <v>0</v>
      </c>
    </row>
    <row r="27" spans="1:12" x14ac:dyDescent="0.25">
      <c r="A27" s="33" t="s">
        <v>3092</v>
      </c>
      <c r="B27" s="177">
        <f>IF(AND(C10&gt;=18.5,C10&lt;40),(MIN(C10,30)-25)/5,"out of range")</f>
        <v>1</v>
      </c>
      <c r="C27" s="177">
        <f t="shared" si="1"/>
        <v>0</v>
      </c>
      <c r="D27" s="177">
        <f t="shared" si="1"/>
        <v>0</v>
      </c>
      <c r="E27" s="177">
        <f t="shared" si="1"/>
        <v>0</v>
      </c>
      <c r="F27" s="177">
        <f t="shared" si="1"/>
        <v>0</v>
      </c>
      <c r="G27" s="177">
        <f t="shared" si="1"/>
        <v>5.4009399999999999E-2</v>
      </c>
      <c r="H27" s="177">
        <f t="shared" si="1"/>
        <v>8.5067599999999993E-2</v>
      </c>
      <c r="I27" s="177">
        <f t="shared" si="1"/>
        <v>0</v>
      </c>
      <c r="J27" s="177">
        <f t="shared" si="1"/>
        <v>0</v>
      </c>
      <c r="K27" s="177">
        <f t="shared" si="1"/>
        <v>0</v>
      </c>
      <c r="L27" s="177">
        <f t="shared" si="1"/>
        <v>0</v>
      </c>
    </row>
    <row r="28" spans="1:12" x14ac:dyDescent="0.25">
      <c r="A28" s="33" t="s">
        <v>3093</v>
      </c>
      <c r="B28" s="177">
        <f>IF(AND(C10&gt;=18.5,C10&lt;40),(MAX(C10,30)-30)/5,"out of range")</f>
        <v>1</v>
      </c>
      <c r="C28" s="177">
        <f t="shared" si="1"/>
        <v>0</v>
      </c>
      <c r="D28" s="177">
        <f t="shared" si="1"/>
        <v>0</v>
      </c>
      <c r="E28" s="177">
        <f t="shared" si="1"/>
        <v>0</v>
      </c>
      <c r="F28" s="177">
        <f t="shared" si="1"/>
        <v>0</v>
      </c>
      <c r="G28" s="177">
        <f t="shared" si="1"/>
        <v>0.24976699999999999</v>
      </c>
      <c r="H28" s="177">
        <f t="shared" si="1"/>
        <v>0.26372220000000002</v>
      </c>
      <c r="I28" s="177">
        <f t="shared" si="1"/>
        <v>0</v>
      </c>
      <c r="J28" s="177">
        <f t="shared" si="1"/>
        <v>0</v>
      </c>
      <c r="K28" s="177">
        <f t="shared" si="1"/>
        <v>0</v>
      </c>
      <c r="L28" s="177">
        <f t="shared" si="1"/>
        <v>0</v>
      </c>
    </row>
    <row r="29" spans="1:12" x14ac:dyDescent="0.25">
      <c r="A29" s="33" t="s">
        <v>3094</v>
      </c>
      <c r="B29" s="177">
        <f>IF(AND(C11&gt;=15,C11&lt;=150),(MIN(C11,60)-60)/-15,"out of range")</f>
        <v>0</v>
      </c>
      <c r="C29" s="177">
        <f t="shared" si="1"/>
        <v>0</v>
      </c>
      <c r="D29" s="177">
        <f t="shared" si="1"/>
        <v>0</v>
      </c>
      <c r="E29" s="177">
        <f t="shared" si="1"/>
        <v>0</v>
      </c>
      <c r="F29" s="177">
        <f t="shared" si="1"/>
        <v>0</v>
      </c>
      <c r="G29" s="177">
        <f t="shared" si="1"/>
        <v>0</v>
      </c>
      <c r="H29" s="177">
        <f t="shared" si="1"/>
        <v>0</v>
      </c>
      <c r="I29" s="177">
        <f t="shared" si="1"/>
        <v>0</v>
      </c>
      <c r="J29" s="177">
        <f t="shared" si="1"/>
        <v>0</v>
      </c>
      <c r="K29" s="177">
        <f t="shared" si="1"/>
        <v>0</v>
      </c>
      <c r="L29" s="177">
        <f t="shared" si="1"/>
        <v>0</v>
      </c>
    </row>
    <row r="30" spans="1:12" x14ac:dyDescent="0.25">
      <c r="A30" s="33" t="s">
        <v>3095</v>
      </c>
      <c r="B30" s="177">
        <f>IF(AND(C11&gt;=15,C11&lt;=150),(MAX(C11,60)-90)/-15,"out of range")</f>
        <v>0</v>
      </c>
      <c r="C30" s="177">
        <f t="shared" si="1"/>
        <v>0</v>
      </c>
      <c r="D30" s="177">
        <f t="shared" si="1"/>
        <v>0</v>
      </c>
      <c r="E30" s="177">
        <f t="shared" si="1"/>
        <v>0</v>
      </c>
      <c r="F30" s="177">
        <f t="shared" si="1"/>
        <v>0</v>
      </c>
      <c r="G30" s="177">
        <f t="shared" si="1"/>
        <v>0</v>
      </c>
      <c r="H30" s="177">
        <f t="shared" si="1"/>
        <v>0</v>
      </c>
      <c r="I30" s="177">
        <f t="shared" si="1"/>
        <v>0</v>
      </c>
      <c r="J30" s="177">
        <f t="shared" si="1"/>
        <v>0</v>
      </c>
      <c r="K30" s="177">
        <f t="shared" si="1"/>
        <v>0</v>
      </c>
      <c r="L30" s="177">
        <f t="shared" si="1"/>
        <v>0</v>
      </c>
    </row>
    <row r="31" spans="1:12" x14ac:dyDescent="0.25">
      <c r="A31" s="33" t="s">
        <v>3127</v>
      </c>
      <c r="B31" s="177">
        <f>IF(OR(C12=0,C12=1),C12,"out of range")</f>
        <v>1</v>
      </c>
      <c r="C31" s="177">
        <f t="shared" si="1"/>
        <v>0.2888947</v>
      </c>
      <c r="D31" s="177">
        <f t="shared" si="1"/>
        <v>0.23342479999999999</v>
      </c>
      <c r="E31" s="177">
        <f t="shared" si="1"/>
        <v>0.1862181</v>
      </c>
      <c r="F31" s="177">
        <f t="shared" si="1"/>
        <v>0.142874</v>
      </c>
      <c r="G31" s="177">
        <f t="shared" si="1"/>
        <v>0.3334936</v>
      </c>
      <c r="H31" s="177">
        <f t="shared" si="1"/>
        <v>0.26119910000000002</v>
      </c>
      <c r="I31" s="177">
        <f t="shared" si="1"/>
        <v>0.15653310000000001</v>
      </c>
      <c r="J31" s="177">
        <f t="shared" si="1"/>
        <v>9.6026799999999995E-2</v>
      </c>
      <c r="K31" s="177">
        <f t="shared" si="1"/>
        <v>0.2080978</v>
      </c>
      <c r="L31" s="177">
        <f t="shared" si="1"/>
        <v>0.17003679999999999</v>
      </c>
    </row>
    <row r="32" spans="1:12" x14ac:dyDescent="0.25">
      <c r="A32" s="33" t="s">
        <v>3128</v>
      </c>
      <c r="B32" s="177">
        <f>IF(OR(C13=0,C13=1),C13,"out of range")</f>
        <v>0</v>
      </c>
      <c r="C32" s="177">
        <f t="shared" si="1"/>
        <v>0</v>
      </c>
      <c r="D32" s="177">
        <f t="shared" si="1"/>
        <v>0</v>
      </c>
      <c r="E32" s="177">
        <f t="shared" si="1"/>
        <v>0</v>
      </c>
      <c r="F32" s="177">
        <f t="shared" si="1"/>
        <v>0</v>
      </c>
      <c r="G32" s="177">
        <f t="shared" si="1"/>
        <v>0</v>
      </c>
      <c r="H32" s="177">
        <f t="shared" si="1"/>
        <v>0</v>
      </c>
      <c r="I32" s="177">
        <f t="shared" si="1"/>
        <v>0</v>
      </c>
      <c r="J32" s="177">
        <f t="shared" si="1"/>
        <v>0</v>
      </c>
      <c r="K32" s="177">
        <f t="shared" si="1"/>
        <v>0</v>
      </c>
      <c r="L32" s="177">
        <f t="shared" si="1"/>
        <v>0</v>
      </c>
    </row>
    <row r="33" spans="1:12" x14ac:dyDescent="0.25">
      <c r="A33" s="33" t="s">
        <v>3129</v>
      </c>
      <c r="B33" s="177">
        <f>B24*B31</f>
        <v>1.5</v>
      </c>
      <c r="C33" s="177">
        <f t="shared" si="1"/>
        <v>-9.0065699999999999E-2</v>
      </c>
      <c r="D33" s="177">
        <f t="shared" si="1"/>
        <v>-5.8980599999999994E-2</v>
      </c>
      <c r="E33" s="177">
        <f t="shared" si="1"/>
        <v>-4.945695E-2</v>
      </c>
      <c r="F33" s="177">
        <f t="shared" si="1"/>
        <v>-3.4994999999999998E-2</v>
      </c>
      <c r="G33" s="177">
        <f t="shared" si="1"/>
        <v>-0.13835085</v>
      </c>
      <c r="H33" s="177">
        <f t="shared" si="1"/>
        <v>-6.1336199999999994E-2</v>
      </c>
      <c r="I33" s="177">
        <f t="shared" si="1"/>
        <v>-0.12992144999999999</v>
      </c>
      <c r="J33" s="177">
        <f t="shared" si="1"/>
        <v>-7.5346499999999997E-2</v>
      </c>
      <c r="K33" s="177">
        <f t="shared" si="1"/>
        <v>-4.43145E-3</v>
      </c>
      <c r="L33" s="177">
        <f t="shared" si="1"/>
        <v>3.016485E-2</v>
      </c>
    </row>
    <row r="34" spans="1:12" x14ac:dyDescent="0.25">
      <c r="A34" s="33" t="s">
        <v>3130</v>
      </c>
      <c r="B34" s="177">
        <f>B21*B32</f>
        <v>0</v>
      </c>
      <c r="C34" s="177">
        <f t="shared" si="1"/>
        <v>0</v>
      </c>
      <c r="D34" s="177">
        <f t="shared" si="1"/>
        <v>0</v>
      </c>
      <c r="E34" s="177">
        <f t="shared" si="1"/>
        <v>0</v>
      </c>
      <c r="F34" s="177">
        <f t="shared" si="1"/>
        <v>0</v>
      </c>
      <c r="G34" s="177">
        <f t="shared" si="1"/>
        <v>0</v>
      </c>
      <c r="H34" s="177">
        <f t="shared" si="1"/>
        <v>0</v>
      </c>
      <c r="I34" s="177">
        <f t="shared" si="1"/>
        <v>0</v>
      </c>
      <c r="J34" s="177">
        <f t="shared" si="1"/>
        <v>0</v>
      </c>
      <c r="K34" s="177">
        <f t="shared" si="1"/>
        <v>0</v>
      </c>
      <c r="L34" s="177">
        <f t="shared" si="1"/>
        <v>0</v>
      </c>
    </row>
    <row r="35" spans="1:12" x14ac:dyDescent="0.25">
      <c r="A35" s="33" t="s">
        <v>3131</v>
      </c>
      <c r="B35" s="177">
        <f>B19*B21</f>
        <v>-0.2541500000000001</v>
      </c>
      <c r="C35" s="177">
        <f t="shared" ref="C35:L43" si="2">$B35*C67</f>
        <v>1.7691584820000009E-2</v>
      </c>
      <c r="D35" s="177">
        <f t="shared" si="2"/>
        <v>1.1785875855000004E-2</v>
      </c>
      <c r="E35" s="177">
        <f t="shared" si="2"/>
        <v>1.1774083295000005E-2</v>
      </c>
      <c r="F35" s="177">
        <f t="shared" si="2"/>
        <v>7.0012733700000026E-3</v>
      </c>
      <c r="G35" s="177">
        <f t="shared" si="2"/>
        <v>0</v>
      </c>
      <c r="H35" s="177">
        <f t="shared" si="2"/>
        <v>0</v>
      </c>
      <c r="I35" s="177">
        <f t="shared" si="2"/>
        <v>1.4348165325000006E-2</v>
      </c>
      <c r="J35" s="177">
        <f t="shared" si="2"/>
        <v>1.2677484885000005E-2</v>
      </c>
      <c r="K35" s="177">
        <f t="shared" si="2"/>
        <v>8.0154335300000028E-3</v>
      </c>
      <c r="L35" s="177">
        <f t="shared" si="2"/>
        <v>-4.7150924600000022E-3</v>
      </c>
    </row>
    <row r="36" spans="1:12" x14ac:dyDescent="0.25">
      <c r="A36" s="33" t="s">
        <v>3132</v>
      </c>
      <c r="B36" s="177">
        <f>B19*B22</f>
        <v>0.22716666666666682</v>
      </c>
      <c r="C36" s="177">
        <f t="shared" si="2"/>
        <v>7.0150656833333378E-3</v>
      </c>
      <c r="D36" s="177">
        <f t="shared" si="2"/>
        <v>4.1934739500000028E-3</v>
      </c>
      <c r="E36" s="177">
        <f t="shared" si="2"/>
        <v>7.3764878500000046E-3</v>
      </c>
      <c r="F36" s="177">
        <f t="shared" si="2"/>
        <v>5.1278331666666701E-3</v>
      </c>
      <c r="G36" s="177">
        <f t="shared" si="2"/>
        <v>0</v>
      </c>
      <c r="H36" s="177">
        <f t="shared" si="2"/>
        <v>0</v>
      </c>
      <c r="I36" s="177">
        <f t="shared" si="2"/>
        <v>1.092748903333334E-2</v>
      </c>
      <c r="J36" s="177">
        <f t="shared" si="2"/>
        <v>1.0884554533333342E-2</v>
      </c>
      <c r="K36" s="177">
        <f t="shared" si="2"/>
        <v>3.7811437333333362E-3</v>
      </c>
      <c r="L36" s="177">
        <f t="shared" si="2"/>
        <v>-2.8926267500000019E-3</v>
      </c>
    </row>
    <row r="37" spans="1:12" x14ac:dyDescent="0.25">
      <c r="A37" s="33" t="s">
        <v>3096</v>
      </c>
      <c r="B37" s="177">
        <f>B19*B24</f>
        <v>-0.75</v>
      </c>
      <c r="C37" s="177">
        <f t="shared" si="2"/>
        <v>7.1553825000000001E-2</v>
      </c>
      <c r="D37" s="177">
        <f t="shared" si="2"/>
        <v>8.1430799999999998E-2</v>
      </c>
      <c r="E37" s="177">
        <f t="shared" si="2"/>
        <v>7.5358275000000002E-2</v>
      </c>
      <c r="F37" s="177">
        <f t="shared" si="2"/>
        <v>6.8101499999999995E-2</v>
      </c>
      <c r="G37" s="177">
        <f t="shared" si="2"/>
        <v>6.8091374999999996E-2</v>
      </c>
      <c r="H37" s="177">
        <f t="shared" si="2"/>
        <v>9.3078825000000004E-2</v>
      </c>
      <c r="I37" s="177">
        <f t="shared" si="2"/>
        <v>6.1485075E-2</v>
      </c>
      <c r="J37" s="177">
        <f t="shared" si="2"/>
        <v>5.9749875000000001E-2</v>
      </c>
      <c r="K37" s="177">
        <f t="shared" si="2"/>
        <v>8.5876500000000008E-2</v>
      </c>
      <c r="L37" s="177">
        <f t="shared" si="2"/>
        <v>8.2938600000000001E-2</v>
      </c>
    </row>
    <row r="38" spans="1:12" x14ac:dyDescent="0.25">
      <c r="A38" s="33" t="s">
        <v>3133</v>
      </c>
      <c r="B38" s="177">
        <f>B19*B25</f>
        <v>-0.5</v>
      </c>
      <c r="C38" s="177">
        <f t="shared" si="2"/>
        <v>0.1381704</v>
      </c>
      <c r="D38" s="177">
        <f t="shared" si="2"/>
        <v>0.11040245</v>
      </c>
      <c r="E38" s="177">
        <f t="shared" si="2"/>
        <v>0.1133472</v>
      </c>
      <c r="F38" s="177">
        <f t="shared" si="2"/>
        <v>8.8594699999999998E-2</v>
      </c>
      <c r="G38" s="177">
        <f t="shared" si="2"/>
        <v>0.17773230000000001</v>
      </c>
      <c r="H38" s="177">
        <f t="shared" si="2"/>
        <v>0.14247304999999999</v>
      </c>
      <c r="I38" s="177">
        <f t="shared" si="2"/>
        <v>0.11324665</v>
      </c>
      <c r="J38" s="177">
        <f t="shared" si="2"/>
        <v>9.1141949999999999E-2</v>
      </c>
      <c r="K38" s="177">
        <f t="shared" si="2"/>
        <v>0.1149462</v>
      </c>
      <c r="L38" s="177">
        <f t="shared" si="2"/>
        <v>8.7203849999999999E-2</v>
      </c>
    </row>
    <row r="39" spans="1:12" x14ac:dyDescent="0.25">
      <c r="A39" s="33" t="s">
        <v>3134</v>
      </c>
      <c r="B39" s="177">
        <f>B19*B26</f>
        <v>0</v>
      </c>
      <c r="C39" s="177">
        <f t="shared" si="2"/>
        <v>0</v>
      </c>
      <c r="D39" s="177">
        <f t="shared" si="2"/>
        <v>0</v>
      </c>
      <c r="E39" s="177">
        <f t="shared" si="2"/>
        <v>0</v>
      </c>
      <c r="F39" s="177">
        <f t="shared" si="2"/>
        <v>0</v>
      </c>
      <c r="G39" s="177">
        <f t="shared" si="2"/>
        <v>0</v>
      </c>
      <c r="H39" s="177">
        <f t="shared" si="2"/>
        <v>0</v>
      </c>
      <c r="I39" s="177">
        <f t="shared" si="2"/>
        <v>0</v>
      </c>
      <c r="J39" s="177">
        <f t="shared" si="2"/>
        <v>0</v>
      </c>
      <c r="K39" s="177">
        <f t="shared" si="2"/>
        <v>0</v>
      </c>
      <c r="L39" s="177">
        <f t="shared" si="2"/>
        <v>0</v>
      </c>
    </row>
    <row r="40" spans="1:12" x14ac:dyDescent="0.25">
      <c r="A40" s="33" t="s">
        <v>3135</v>
      </c>
      <c r="B40" s="177">
        <f>B19*B28</f>
        <v>-0.5</v>
      </c>
      <c r="C40" s="177">
        <f t="shared" si="2"/>
        <v>0</v>
      </c>
      <c r="D40" s="177">
        <f t="shared" si="2"/>
        <v>0</v>
      </c>
      <c r="E40" s="177">
        <f t="shared" si="2"/>
        <v>0</v>
      </c>
      <c r="F40" s="177">
        <f t="shared" si="2"/>
        <v>0</v>
      </c>
      <c r="G40" s="177">
        <f t="shared" si="2"/>
        <v>3.9805500000000002E-3</v>
      </c>
      <c r="H40" s="177">
        <f t="shared" si="2"/>
        <v>1.19857E-2</v>
      </c>
      <c r="I40" s="177">
        <f t="shared" si="2"/>
        <v>0</v>
      </c>
      <c r="J40" s="177">
        <f t="shared" si="2"/>
        <v>0</v>
      </c>
      <c r="K40" s="177">
        <f t="shared" si="2"/>
        <v>0</v>
      </c>
      <c r="L40" s="177">
        <f t="shared" si="2"/>
        <v>0</v>
      </c>
    </row>
    <row r="41" spans="1:12" x14ac:dyDescent="0.25">
      <c r="A41" s="33" t="s">
        <v>3136</v>
      </c>
      <c r="B41" s="177">
        <f>B19*B29</f>
        <v>0</v>
      </c>
      <c r="C41" s="177">
        <f t="shared" si="2"/>
        <v>0</v>
      </c>
      <c r="D41" s="177">
        <f t="shared" si="2"/>
        <v>0</v>
      </c>
      <c r="E41" s="177">
        <f t="shared" si="2"/>
        <v>0</v>
      </c>
      <c r="F41" s="177">
        <f t="shared" si="2"/>
        <v>0</v>
      </c>
      <c r="G41" s="177">
        <f t="shared" si="2"/>
        <v>0</v>
      </c>
      <c r="H41" s="177">
        <f t="shared" si="2"/>
        <v>0</v>
      </c>
      <c r="I41" s="177">
        <f t="shared" si="2"/>
        <v>0</v>
      </c>
      <c r="J41" s="177">
        <f t="shared" si="2"/>
        <v>0</v>
      </c>
      <c r="K41" s="177">
        <f t="shared" si="2"/>
        <v>0</v>
      </c>
      <c r="L41" s="177">
        <f t="shared" si="2"/>
        <v>0</v>
      </c>
    </row>
    <row r="42" spans="1:12" x14ac:dyDescent="0.25">
      <c r="A42" s="33" t="s">
        <v>3102</v>
      </c>
      <c r="B42" s="177">
        <f>IF(AND(C14&gt;=3,C14&lt;=15),(C14-5.3)*B25,"out of range")</f>
        <v>2.2000000000000002</v>
      </c>
      <c r="C42" s="177">
        <f t="shared" si="2"/>
        <v>0.20691946</v>
      </c>
      <c r="D42" s="177">
        <f t="shared" si="2"/>
        <v>0.16899718</v>
      </c>
      <c r="E42" s="177">
        <f t="shared" si="2"/>
        <v>0.19268194000000002</v>
      </c>
      <c r="F42" s="177">
        <f t="shared" si="2"/>
        <v>0.13003958000000002</v>
      </c>
      <c r="G42" s="177">
        <f t="shared" si="2"/>
        <v>0.31863392000000001</v>
      </c>
      <c r="H42" s="177">
        <f t="shared" si="2"/>
        <v>0.24226048000000003</v>
      </c>
      <c r="I42" s="177">
        <f t="shared" si="2"/>
        <v>0.29566900000000002</v>
      </c>
      <c r="J42" s="177">
        <f t="shared" si="2"/>
        <v>0.15303992000000002</v>
      </c>
      <c r="K42" s="177">
        <f t="shared" si="2"/>
        <v>0.10067728000000001</v>
      </c>
      <c r="L42" s="177">
        <f t="shared" si="2"/>
        <v>0.11011968000000001</v>
      </c>
    </row>
    <row r="43" spans="1:12" x14ac:dyDescent="0.25">
      <c r="A43" s="33" t="s">
        <v>3103</v>
      </c>
      <c r="B43" s="177">
        <f>IF(AND(C14&gt;=3,C14&lt;=15),(C14-5.3)*(1-B25),"out of range")</f>
        <v>0</v>
      </c>
      <c r="C43" s="177">
        <f t="shared" si="2"/>
        <v>0</v>
      </c>
      <c r="D43" s="177">
        <f t="shared" si="2"/>
        <v>0</v>
      </c>
      <c r="E43" s="177">
        <f t="shared" si="2"/>
        <v>0</v>
      </c>
      <c r="F43" s="177">
        <f t="shared" si="2"/>
        <v>0</v>
      </c>
      <c r="G43" s="177">
        <f t="shared" si="2"/>
        <v>0</v>
      </c>
      <c r="H43" s="177">
        <f t="shared" si="2"/>
        <v>0</v>
      </c>
      <c r="I43" s="177">
        <f t="shared" si="2"/>
        <v>0</v>
      </c>
      <c r="J43" s="177">
        <f t="shared" si="2"/>
        <v>0</v>
      </c>
      <c r="K43" s="177">
        <f t="shared" si="2"/>
        <v>0</v>
      </c>
      <c r="L43" s="177">
        <f t="shared" si="2"/>
        <v>0</v>
      </c>
    </row>
    <row r="44" spans="1:12" x14ac:dyDescent="0.25">
      <c r="A44" s="33" t="s">
        <v>2395</v>
      </c>
      <c r="B44" s="177">
        <v>1</v>
      </c>
      <c r="C44" s="177">
        <f t="shared" ref="C44:L44" si="3">$B44*C77</f>
        <v>-1.341059</v>
      </c>
      <c r="D44" s="177">
        <f t="shared" si="3"/>
        <v>-1.1807669999999999</v>
      </c>
      <c r="E44" s="177">
        <f t="shared" si="3"/>
        <v>-2.011533</v>
      </c>
      <c r="F44" s="177">
        <f t="shared" si="3"/>
        <v>-1.7777080000000001</v>
      </c>
      <c r="G44" s="177">
        <f t="shared" si="3"/>
        <v>-2.1935530000000001</v>
      </c>
      <c r="H44" s="177">
        <f t="shared" si="3"/>
        <v>-1.9749989999999999</v>
      </c>
      <c r="I44" s="177">
        <f t="shared" si="3"/>
        <v>-2.8026420000000001</v>
      </c>
      <c r="J44" s="177">
        <f t="shared" si="3"/>
        <v>-2.4843299999999999</v>
      </c>
      <c r="K44" s="177">
        <f t="shared" si="3"/>
        <v>-2.6183960000000002</v>
      </c>
      <c r="L44" s="177">
        <f t="shared" si="3"/>
        <v>-2.4381539999999999</v>
      </c>
    </row>
    <row r="45" spans="1:12" ht="14.45" customHeight="1" x14ac:dyDescent="0.25">
      <c r="A45" s="65" t="s">
        <v>3098</v>
      </c>
      <c r="B45" s="240" t="s">
        <v>3097</v>
      </c>
      <c r="C45" s="177">
        <f>SUM(C19:C44)</f>
        <v>2.4847688566664861E-3</v>
      </c>
      <c r="D45" s="177">
        <f t="shared" ref="D45:L45" si="4">SUM(D19:D44)</f>
        <v>-3.5557147881666307E-2</v>
      </c>
      <c r="E45" s="177">
        <f t="shared" si="4"/>
        <v>-0.74281952569166654</v>
      </c>
      <c r="F45" s="177">
        <f t="shared" si="4"/>
        <v>-0.76540833857666679</v>
      </c>
      <c r="G45" s="177">
        <f t="shared" si="4"/>
        <v>-0.45061960499999998</v>
      </c>
      <c r="H45" s="177">
        <f t="shared" si="4"/>
        <v>-0.3616012949999996</v>
      </c>
      <c r="I45" s="177">
        <f t="shared" si="4"/>
        <v>-1.5021022186149999</v>
      </c>
      <c r="J45" s="177">
        <f t="shared" si="4"/>
        <v>-1.4365992166316663</v>
      </c>
      <c r="K45" s="177">
        <f t="shared" si="4"/>
        <v>-1.4612235537066669</v>
      </c>
      <c r="L45" s="177">
        <f t="shared" si="4"/>
        <v>-1.5476189184833333</v>
      </c>
    </row>
    <row r="46" spans="1:12" x14ac:dyDescent="0.25">
      <c r="A46" s="183" t="s">
        <v>3099</v>
      </c>
      <c r="B46" s="240"/>
      <c r="C46" s="184">
        <f>EXP(C45)/(1+EXP(C45))</f>
        <v>0.50062119189455945</v>
      </c>
      <c r="D46" s="184">
        <f t="shared" ref="D46:L46" si="5">EXP(D45)/(1+EXP(D45))</f>
        <v>0.49111164947962171</v>
      </c>
      <c r="E46" s="184">
        <f t="shared" si="5"/>
        <v>0.32238789906475523</v>
      </c>
      <c r="F46" s="184">
        <f t="shared" si="5"/>
        <v>0.3174732107885912</v>
      </c>
      <c r="G46" s="184">
        <f t="shared" si="5"/>
        <v>0.38921345951338449</v>
      </c>
      <c r="H46" s="184">
        <f t="shared" si="5"/>
        <v>0.41057199291956664</v>
      </c>
      <c r="I46" s="184">
        <f t="shared" si="5"/>
        <v>0.18211219465582462</v>
      </c>
      <c r="J46" s="184">
        <f t="shared" si="5"/>
        <v>0.19207253184632295</v>
      </c>
      <c r="K46" s="184">
        <f t="shared" si="5"/>
        <v>0.18828025719410829</v>
      </c>
      <c r="L46" s="184">
        <f t="shared" si="5"/>
        <v>0.17543043640959111</v>
      </c>
    </row>
    <row r="47" spans="1:12" x14ac:dyDescent="0.25">
      <c r="A47" s="183"/>
      <c r="B47" s="182"/>
      <c r="C47" s="184"/>
      <c r="D47" s="184"/>
      <c r="E47" s="184"/>
      <c r="F47" s="184"/>
      <c r="G47" s="184"/>
      <c r="H47" s="184"/>
      <c r="I47" s="184"/>
      <c r="J47" s="184"/>
      <c r="K47" s="184"/>
      <c r="L47" s="184"/>
    </row>
    <row r="48" spans="1:12" x14ac:dyDescent="0.25">
      <c r="A48" s="185" t="s">
        <v>3137</v>
      </c>
      <c r="B48" s="182"/>
      <c r="C48" s="184"/>
      <c r="D48" s="184"/>
      <c r="E48" s="184"/>
      <c r="F48" s="184"/>
      <c r="G48" s="184"/>
      <c r="H48" s="184"/>
      <c r="I48" s="184"/>
      <c r="J48" s="184"/>
      <c r="K48" s="184"/>
      <c r="L48" s="184"/>
    </row>
    <row r="49" spans="1:12" x14ac:dyDescent="0.25">
      <c r="A49" s="236" t="s">
        <v>3138</v>
      </c>
      <c r="C49" s="192" t="s">
        <v>35</v>
      </c>
      <c r="D49" s="192"/>
      <c r="E49" s="192" t="s">
        <v>36</v>
      </c>
      <c r="F49" s="192"/>
      <c r="G49" s="192" t="s">
        <v>327</v>
      </c>
      <c r="H49" s="192"/>
      <c r="I49" s="192" t="s">
        <v>328</v>
      </c>
      <c r="J49" s="192"/>
      <c r="K49" s="192" t="s">
        <v>39</v>
      </c>
      <c r="L49" s="192"/>
    </row>
    <row r="50" spans="1:12" x14ac:dyDescent="0.25">
      <c r="A50" s="236"/>
      <c r="B50" s="65"/>
      <c r="C50" s="124" t="s">
        <v>330</v>
      </c>
      <c r="D50" s="124" t="s">
        <v>331</v>
      </c>
      <c r="E50" s="124" t="s">
        <v>330</v>
      </c>
      <c r="F50" s="124" t="s">
        <v>331</v>
      </c>
      <c r="G50" s="124" t="s">
        <v>330</v>
      </c>
      <c r="H50" s="124" t="s">
        <v>331</v>
      </c>
      <c r="I50" s="124" t="s">
        <v>330</v>
      </c>
      <c r="J50" s="124" t="s">
        <v>331</v>
      </c>
      <c r="K50" s="124" t="s">
        <v>330</v>
      </c>
      <c r="L50" s="124" t="s">
        <v>331</v>
      </c>
    </row>
    <row r="51" spans="1:12" x14ac:dyDescent="0.25">
      <c r="A51" s="65" t="s">
        <v>3081</v>
      </c>
      <c r="C51" s="44">
        <v>0.53434930000000003</v>
      </c>
      <c r="D51" s="44">
        <v>0.45198729999999998</v>
      </c>
      <c r="E51" s="44">
        <v>0.4555574</v>
      </c>
      <c r="F51" s="44">
        <v>0.38832670000000002</v>
      </c>
      <c r="G51" s="44">
        <v>0.62108560000000002</v>
      </c>
      <c r="H51" s="44">
        <v>0.57037289999999996</v>
      </c>
      <c r="I51" s="44">
        <v>0.48531869999999999</v>
      </c>
      <c r="J51" s="44">
        <v>0.39445079999999999</v>
      </c>
      <c r="K51" s="44">
        <v>0.42966789999999999</v>
      </c>
      <c r="L51" s="44">
        <v>0.39740199999999998</v>
      </c>
    </row>
    <row r="52" spans="1:12" x14ac:dyDescent="0.25">
      <c r="A52" s="19" t="s">
        <v>3080</v>
      </c>
      <c r="C52" s="44">
        <v>-9.5231399999999994E-2</v>
      </c>
      <c r="D52" s="44">
        <v>-0.10162400000000001</v>
      </c>
      <c r="E52" s="44">
        <v>-9.0350100000000003E-2</v>
      </c>
      <c r="F52" s="44">
        <v>-9.5811400000000005E-2</v>
      </c>
      <c r="G52" s="44">
        <v>-0.1000972</v>
      </c>
      <c r="H52" s="44">
        <v>-0.10845440000000001</v>
      </c>
      <c r="I52" s="44">
        <v>-9.2965400000000004E-2</v>
      </c>
      <c r="J52" s="44">
        <v>-9.5685699999999999E-2</v>
      </c>
      <c r="K52" s="44">
        <v>-8.8311799999999996E-2</v>
      </c>
      <c r="L52" s="44">
        <v>-9.5342499999999997E-2</v>
      </c>
    </row>
    <row r="53" spans="1:12" x14ac:dyDescent="0.25">
      <c r="A53" s="65" t="s">
        <v>332</v>
      </c>
      <c r="C53" s="44">
        <v>2.9812399999999999E-2</v>
      </c>
      <c r="D53" s="44">
        <v>7.00456E-2</v>
      </c>
      <c r="E53" s="44">
        <v>0.11483210000000001</v>
      </c>
      <c r="F53" s="44">
        <v>0.16133739999999999</v>
      </c>
      <c r="G53" s="44"/>
      <c r="H53" s="44"/>
      <c r="I53" s="44">
        <v>0.1733152</v>
      </c>
      <c r="J53" s="44">
        <v>0.25193650000000001</v>
      </c>
      <c r="K53" s="44">
        <v>4.87321E-2</v>
      </c>
      <c r="L53" s="44">
        <v>1.80202E-2</v>
      </c>
    </row>
    <row r="54" spans="1:12" x14ac:dyDescent="0.25">
      <c r="A54" s="65" t="s">
        <v>341</v>
      </c>
      <c r="C54" s="44">
        <v>-0.15784509999999999</v>
      </c>
      <c r="D54" s="44">
        <v>-9.6800499999999998E-2</v>
      </c>
      <c r="E54" s="44">
        <v>-0.14587539999999999</v>
      </c>
      <c r="F54" s="44">
        <v>-0.1144418</v>
      </c>
      <c r="G54" s="44"/>
      <c r="H54" s="44"/>
      <c r="I54" s="44">
        <v>-0.19294520000000001</v>
      </c>
      <c r="J54" s="44">
        <v>-0.18188099999999999</v>
      </c>
      <c r="K54" s="44">
        <v>-0.1001406</v>
      </c>
      <c r="L54" s="44">
        <v>-2.4253400000000001E-2</v>
      </c>
    </row>
    <row r="55" spans="1:12" x14ac:dyDescent="0.25">
      <c r="A55" s="65" t="s">
        <v>350</v>
      </c>
      <c r="C55" s="44">
        <v>-0.15044879999999999</v>
      </c>
      <c r="D55" s="44">
        <v>-0.19235269999999999</v>
      </c>
      <c r="E55" s="44">
        <v>8.9323000000000007E-3</v>
      </c>
      <c r="F55" s="44">
        <v>-4.7433799999999998E-2</v>
      </c>
      <c r="G55" s="44">
        <v>-0.37736969999999997</v>
      </c>
      <c r="H55" s="44">
        <v>-0.44717669999999998</v>
      </c>
      <c r="I55" s="44">
        <v>9.2227999999999997E-3</v>
      </c>
      <c r="J55" s="44">
        <v>-8.2920300000000002E-2</v>
      </c>
      <c r="K55" s="44">
        <v>-1.9994700000000001E-2</v>
      </c>
      <c r="L55" s="44">
        <v>-2.8341399999999999E-2</v>
      </c>
    </row>
    <row r="56" spans="1:12" x14ac:dyDescent="0.25">
      <c r="A56" s="65" t="s">
        <v>361</v>
      </c>
      <c r="C56" s="44">
        <v>0.31733679999999997</v>
      </c>
      <c r="D56" s="44">
        <v>0.28270430000000002</v>
      </c>
      <c r="E56" s="44">
        <v>0.31390289999999998</v>
      </c>
      <c r="F56" s="44">
        <v>0.26912809999999998</v>
      </c>
      <c r="G56" s="44">
        <v>0.29531600000000002</v>
      </c>
      <c r="H56" s="44">
        <v>0.29101519999999997</v>
      </c>
      <c r="I56" s="44">
        <v>0.29824400000000001</v>
      </c>
      <c r="J56" s="44">
        <v>0.25345960000000001</v>
      </c>
      <c r="K56" s="44">
        <v>0.31983820000000002</v>
      </c>
      <c r="L56" s="44">
        <v>0.28706409999999999</v>
      </c>
    </row>
    <row r="57" spans="1:12" x14ac:dyDescent="0.25">
      <c r="A57" s="65" t="s">
        <v>372</v>
      </c>
      <c r="C57" s="44">
        <v>0.43147380000000002</v>
      </c>
      <c r="D57" s="44">
        <v>0.3417152</v>
      </c>
      <c r="E57" s="44">
        <v>0.38628099999999999</v>
      </c>
      <c r="F57" s="44">
        <v>0.28597729999999999</v>
      </c>
      <c r="G57" s="44">
        <v>0.56816920000000004</v>
      </c>
      <c r="H57" s="44">
        <v>0.45072420000000002</v>
      </c>
      <c r="I57" s="44">
        <v>0.42102889999999998</v>
      </c>
      <c r="J57" s="44">
        <v>0.32982020000000001</v>
      </c>
      <c r="K57" s="44">
        <v>0.32709640000000001</v>
      </c>
      <c r="L57" s="44">
        <v>0.18944069999999999</v>
      </c>
    </row>
    <row r="58" spans="1:12" ht="14.45" customHeight="1" x14ac:dyDescent="0.25">
      <c r="A58" s="65" t="s">
        <v>383</v>
      </c>
      <c r="C58" s="44">
        <v>0.3209399</v>
      </c>
      <c r="D58" s="44">
        <v>0.2105272</v>
      </c>
      <c r="E58" s="44">
        <v>0.27143089999999997</v>
      </c>
      <c r="F58" s="44">
        <v>0.17595530000000001</v>
      </c>
      <c r="G58" s="44">
        <v>0.3449139</v>
      </c>
      <c r="H58" s="44">
        <v>0.25958500000000001</v>
      </c>
      <c r="I58" s="44">
        <v>0.32542369999999998</v>
      </c>
      <c r="J58" s="44">
        <v>0.17733789999999999</v>
      </c>
      <c r="K58" s="44">
        <v>0.2039542</v>
      </c>
      <c r="L58" s="44">
        <v>0.16322780000000001</v>
      </c>
    </row>
    <row r="59" spans="1:12" ht="14.45" customHeight="1" x14ac:dyDescent="0.25">
      <c r="A59" s="65" t="s">
        <v>393</v>
      </c>
      <c r="C59" s="44"/>
      <c r="D59" s="44"/>
      <c r="E59" s="44"/>
      <c r="F59" s="44"/>
      <c r="G59" s="44">
        <v>5.4009399999999999E-2</v>
      </c>
      <c r="H59" s="44">
        <v>8.5067599999999993E-2</v>
      </c>
      <c r="I59" s="44"/>
      <c r="J59" s="44"/>
      <c r="K59" s="44"/>
      <c r="L59" s="44"/>
    </row>
    <row r="60" spans="1:12" ht="14.45" customHeight="1" x14ac:dyDescent="0.25">
      <c r="A60" s="65" t="s">
        <v>396</v>
      </c>
      <c r="C60" s="44"/>
      <c r="D60" s="44"/>
      <c r="E60" s="44"/>
      <c r="F60" s="44"/>
      <c r="G60" s="44">
        <v>0.24976699999999999</v>
      </c>
      <c r="H60" s="44">
        <v>0.26372220000000002</v>
      </c>
      <c r="I60" s="44"/>
      <c r="J60" s="44"/>
      <c r="K60" s="44"/>
      <c r="L60" s="44"/>
    </row>
    <row r="61" spans="1:12" ht="14.45" customHeight="1" x14ac:dyDescent="0.25">
      <c r="A61" s="65" t="s">
        <v>399</v>
      </c>
      <c r="C61" s="44">
        <v>0.17714350000000001</v>
      </c>
      <c r="D61" s="44">
        <v>0.1113291</v>
      </c>
      <c r="E61" s="44">
        <v>9.3098700000000006E-2</v>
      </c>
      <c r="F61" s="44">
        <v>-2.42898E-2</v>
      </c>
      <c r="G61" s="44">
        <v>0.2875781</v>
      </c>
      <c r="H61" s="44">
        <v>0.24547060000000001</v>
      </c>
      <c r="I61" s="44">
        <v>0.1183472</v>
      </c>
      <c r="J61" s="44">
        <v>-5.9506000000000003E-3</v>
      </c>
      <c r="K61" s="44">
        <v>6.9905200000000001E-2</v>
      </c>
      <c r="L61" s="44">
        <v>-2.7618E-3</v>
      </c>
    </row>
    <row r="62" spans="1:12" x14ac:dyDescent="0.25">
      <c r="A62" s="65" t="s">
        <v>410</v>
      </c>
      <c r="C62" s="44">
        <v>5.8282800000000003E-2</v>
      </c>
      <c r="D62" s="44">
        <v>6.4013500000000001E-2</v>
      </c>
      <c r="E62" s="44">
        <v>5.3221600000000001E-2</v>
      </c>
      <c r="F62" s="44">
        <v>6.4452300000000004E-2</v>
      </c>
      <c r="G62" s="44">
        <v>6.9201299999999993E-2</v>
      </c>
      <c r="H62" s="44">
        <v>6.7564899999999997E-2</v>
      </c>
      <c r="I62" s="44">
        <v>4.6280500000000002E-2</v>
      </c>
      <c r="J62" s="44">
        <v>6.2562300000000001E-2</v>
      </c>
      <c r="K62" s="44">
        <v>6.2554999999999999E-2</v>
      </c>
      <c r="L62" s="44">
        <v>6.0561700000000003E-2</v>
      </c>
    </row>
    <row r="63" spans="1:12" x14ac:dyDescent="0.25">
      <c r="A63" s="65" t="s">
        <v>420</v>
      </c>
      <c r="C63" s="44">
        <v>0.2888947</v>
      </c>
      <c r="D63" s="44">
        <v>0.23342479999999999</v>
      </c>
      <c r="E63" s="44">
        <v>0.1862181</v>
      </c>
      <c r="F63" s="44">
        <v>0.142874</v>
      </c>
      <c r="G63" s="44">
        <v>0.3334936</v>
      </c>
      <c r="H63" s="44">
        <v>0.26119910000000002</v>
      </c>
      <c r="I63" s="44">
        <v>0.15653310000000001</v>
      </c>
      <c r="J63" s="44">
        <v>9.6026799999999995E-2</v>
      </c>
      <c r="K63" s="44">
        <v>0.2080978</v>
      </c>
      <c r="L63" s="44">
        <v>0.17003679999999999</v>
      </c>
    </row>
    <row r="64" spans="1:12" ht="14.45" customHeight="1" x14ac:dyDescent="0.25">
      <c r="A64" s="65" t="s">
        <v>431</v>
      </c>
      <c r="C64" s="44">
        <v>-7.9588599999999995E-2</v>
      </c>
      <c r="D64" s="44">
        <v>-2.9942099999999999E-2</v>
      </c>
      <c r="E64" s="44">
        <v>1.06964E-2</v>
      </c>
      <c r="F64" s="44">
        <v>1.1506199999999999E-2</v>
      </c>
      <c r="G64" s="44"/>
      <c r="H64" s="44"/>
      <c r="I64" s="44">
        <v>3.3512E-2</v>
      </c>
      <c r="J64" s="44">
        <v>4.8911499999999997E-2</v>
      </c>
      <c r="K64" s="44">
        <v>-1.4200900000000001E-2</v>
      </c>
      <c r="L64" s="44">
        <v>-2.5615499999999999E-2</v>
      </c>
    </row>
    <row r="65" spans="1:14" ht="14.45" customHeight="1" x14ac:dyDescent="0.25">
      <c r="A65" s="65" t="s">
        <v>440</v>
      </c>
      <c r="C65" s="44">
        <v>-6.0043800000000001E-2</v>
      </c>
      <c r="D65" s="44">
        <v>-3.9320399999999998E-2</v>
      </c>
      <c r="E65" s="44">
        <v>-3.2971300000000002E-2</v>
      </c>
      <c r="F65" s="44">
        <v>-2.333E-2</v>
      </c>
      <c r="G65" s="44">
        <v>-9.2233899999999994E-2</v>
      </c>
      <c r="H65" s="44">
        <v>-4.0890799999999998E-2</v>
      </c>
      <c r="I65" s="44">
        <v>-8.6614300000000005E-2</v>
      </c>
      <c r="J65" s="44">
        <v>-5.0230999999999998E-2</v>
      </c>
      <c r="K65" s="44">
        <v>-2.9543E-3</v>
      </c>
      <c r="L65" s="44">
        <v>2.01099E-2</v>
      </c>
    </row>
    <row r="66" spans="1:14" x14ac:dyDescent="0.25">
      <c r="A66" s="65" t="s">
        <v>451</v>
      </c>
      <c r="C66" s="44">
        <v>9.2059799999999997E-2</v>
      </c>
      <c r="D66" s="44">
        <v>0.12288540000000001</v>
      </c>
      <c r="E66" s="44">
        <v>5.83609E-2</v>
      </c>
      <c r="F66" s="44">
        <v>8.9966400000000002E-2</v>
      </c>
      <c r="G66" s="44"/>
      <c r="H66" s="44"/>
      <c r="I66" s="44">
        <v>4.6849700000000001E-2</v>
      </c>
      <c r="J66" s="44">
        <v>5.7355400000000001E-2</v>
      </c>
      <c r="K66" s="44">
        <v>5.7452499999999997E-2</v>
      </c>
      <c r="L66" s="44">
        <v>0.12816839999999999</v>
      </c>
    </row>
    <row r="67" spans="1:14" x14ac:dyDescent="0.25">
      <c r="A67" s="65" t="s">
        <v>460</v>
      </c>
      <c r="C67" s="44">
        <v>-6.96108E-2</v>
      </c>
      <c r="D67" s="44">
        <v>-4.6373699999999997E-2</v>
      </c>
      <c r="E67" s="44">
        <v>-4.6327300000000002E-2</v>
      </c>
      <c r="F67" s="44">
        <v>-2.7547800000000001E-2</v>
      </c>
      <c r="I67" s="44">
        <v>-5.6455499999999999E-2</v>
      </c>
      <c r="J67" s="44">
        <v>-4.98819E-2</v>
      </c>
      <c r="K67" s="44">
        <v>-3.1538200000000002E-2</v>
      </c>
      <c r="L67" s="44">
        <v>1.85524E-2</v>
      </c>
    </row>
    <row r="68" spans="1:14" x14ac:dyDescent="0.25">
      <c r="A68" s="65" t="s">
        <v>3079</v>
      </c>
      <c r="C68" s="44">
        <v>3.0880700000000001E-2</v>
      </c>
      <c r="D68" s="44">
        <v>1.8459900000000001E-2</v>
      </c>
      <c r="E68" s="44">
        <v>3.2471699999999999E-2</v>
      </c>
      <c r="F68" s="44">
        <v>2.2572999999999999E-2</v>
      </c>
      <c r="G68" s="44"/>
      <c r="H68" s="44"/>
      <c r="I68" s="44">
        <v>4.8103399999999998E-2</v>
      </c>
      <c r="J68" s="44">
        <v>4.7914400000000003E-2</v>
      </c>
      <c r="K68" s="44">
        <v>1.6644800000000001E-2</v>
      </c>
      <c r="L68" s="44">
        <v>-1.27335E-2</v>
      </c>
    </row>
    <row r="69" spans="1:14" x14ac:dyDescent="0.25">
      <c r="A69" s="65" t="s">
        <v>475</v>
      </c>
      <c r="C69" s="44">
        <v>-9.5405100000000007E-2</v>
      </c>
      <c r="D69" s="44">
        <v>-0.1085744</v>
      </c>
      <c r="E69" s="44">
        <v>-0.1004777</v>
      </c>
      <c r="F69" s="44">
        <v>-9.0801999999999994E-2</v>
      </c>
      <c r="G69" s="44">
        <v>-9.0788499999999994E-2</v>
      </c>
      <c r="H69" s="44">
        <v>-0.1241051</v>
      </c>
      <c r="I69" s="44">
        <v>-8.19801E-2</v>
      </c>
      <c r="J69" s="44">
        <v>-7.9666500000000001E-2</v>
      </c>
      <c r="K69" s="44">
        <v>-0.11450200000000001</v>
      </c>
      <c r="L69" s="44">
        <v>-0.1105848</v>
      </c>
    </row>
    <row r="70" spans="1:14" x14ac:dyDescent="0.25">
      <c r="A70" s="65" t="s">
        <v>481</v>
      </c>
      <c r="C70" s="44">
        <v>-0.2763408</v>
      </c>
      <c r="D70" s="44">
        <v>-0.2208049</v>
      </c>
      <c r="E70" s="44">
        <v>-0.22669439999999999</v>
      </c>
      <c r="F70" s="44">
        <v>-0.1771894</v>
      </c>
      <c r="G70" s="44">
        <v>-0.35546460000000002</v>
      </c>
      <c r="H70" s="44">
        <v>-0.28494609999999998</v>
      </c>
      <c r="I70" s="44">
        <v>-0.22649330000000001</v>
      </c>
      <c r="J70" s="44">
        <v>-0.1822839</v>
      </c>
      <c r="K70" s="44">
        <v>-0.2298924</v>
      </c>
      <c r="L70" s="44">
        <v>-0.1744077</v>
      </c>
    </row>
    <row r="71" spans="1:14" x14ac:dyDescent="0.25">
      <c r="A71" s="65" t="s">
        <v>492</v>
      </c>
      <c r="C71" s="44">
        <v>-0.16239439999999999</v>
      </c>
      <c r="D71" s="44">
        <v>-0.15779779999999999</v>
      </c>
      <c r="E71" s="44">
        <v>-0.15418589999999999</v>
      </c>
      <c r="F71" s="44">
        <v>-0.15488469999999999</v>
      </c>
      <c r="G71" s="44">
        <v>-0.2008846</v>
      </c>
      <c r="H71" s="44">
        <v>-0.20323079999999999</v>
      </c>
      <c r="I71" s="44">
        <v>-0.153584</v>
      </c>
      <c r="J71" s="44">
        <v>-0.17449509999999999</v>
      </c>
      <c r="K71" s="44">
        <v>-0.170899</v>
      </c>
      <c r="L71" s="44">
        <v>-0.13339409999999999</v>
      </c>
    </row>
    <row r="72" spans="1:14" x14ac:dyDescent="0.25">
      <c r="A72" s="65" t="s">
        <v>501</v>
      </c>
      <c r="E72" s="44"/>
      <c r="F72" s="44"/>
      <c r="G72" s="44">
        <v>-7.9611000000000005E-3</v>
      </c>
      <c r="H72" s="44">
        <v>-2.39714E-2</v>
      </c>
      <c r="I72" s="44"/>
      <c r="J72" s="44"/>
      <c r="K72" s="44"/>
      <c r="L72" s="44"/>
    </row>
    <row r="73" spans="1:14" x14ac:dyDescent="0.25">
      <c r="A73" s="65" t="s">
        <v>504</v>
      </c>
      <c r="C73" s="44">
        <v>-0.1430514</v>
      </c>
      <c r="D73" s="44">
        <v>-0.1179375</v>
      </c>
      <c r="E73" s="44">
        <v>-0.12860050000000001</v>
      </c>
      <c r="F73" s="44">
        <v>-7.3275400000000004E-2</v>
      </c>
      <c r="G73" s="44">
        <v>-0.156803</v>
      </c>
      <c r="H73" s="44">
        <v>-0.13830100000000001</v>
      </c>
      <c r="I73" s="44">
        <v>-0.11227380000000001</v>
      </c>
      <c r="J73" s="44">
        <v>-2.5945599999999999E-2</v>
      </c>
      <c r="K73" s="44">
        <v>-0.13074330000000001</v>
      </c>
      <c r="L73" s="44">
        <v>-0.12545909999999999</v>
      </c>
    </row>
    <row r="74" spans="1:14" x14ac:dyDescent="0.25">
      <c r="A74" s="19" t="s">
        <v>649</v>
      </c>
      <c r="C74" s="44">
        <v>9.4054299999999993E-2</v>
      </c>
      <c r="D74" s="44">
        <v>7.6816899999999994E-2</v>
      </c>
      <c r="E74" s="44">
        <v>8.7582699999999999E-2</v>
      </c>
      <c r="F74" s="44">
        <v>5.9108899999999999E-2</v>
      </c>
      <c r="G74" s="44">
        <v>0.14483360000000001</v>
      </c>
      <c r="H74" s="44">
        <v>0.11011840000000001</v>
      </c>
      <c r="I74" s="44">
        <v>0.13439499999999999</v>
      </c>
      <c r="J74" s="44">
        <v>6.9563600000000003E-2</v>
      </c>
      <c r="K74" s="44">
        <v>4.5762400000000002E-2</v>
      </c>
      <c r="L74" s="44">
        <v>5.0054399999999999E-2</v>
      </c>
    </row>
    <row r="75" spans="1:14" x14ac:dyDescent="0.25">
      <c r="A75" s="19" t="s">
        <v>659</v>
      </c>
      <c r="C75" s="44">
        <v>0.1116486</v>
      </c>
      <c r="D75" s="44">
        <v>7.7729500000000007E-2</v>
      </c>
      <c r="E75" s="44">
        <v>0.1126417</v>
      </c>
      <c r="F75" s="44">
        <v>8.2115800000000003E-2</v>
      </c>
      <c r="G75" s="44">
        <v>0.1277838</v>
      </c>
      <c r="H75" s="44">
        <v>9.4919799999999999E-2</v>
      </c>
      <c r="I75" s="44">
        <v>0.12704579999999999</v>
      </c>
      <c r="J75" s="44">
        <v>7.07541E-2</v>
      </c>
      <c r="K75" s="44">
        <v>0.1056467</v>
      </c>
      <c r="L75" s="44">
        <v>9.1772699999999999E-2</v>
      </c>
    </row>
    <row r="76" spans="1:14" x14ac:dyDescent="0.25">
      <c r="A76" s="19" t="s">
        <v>670</v>
      </c>
      <c r="C76" s="44">
        <v>-2.4797999999999999E-3</v>
      </c>
      <c r="D76" s="44">
        <v>9.2204000000000001E-3</v>
      </c>
      <c r="E76" s="44">
        <v>1.24356E-2</v>
      </c>
      <c r="F76" s="44">
        <v>1.7975499999999998E-2</v>
      </c>
      <c r="G76" s="44">
        <v>-2.2588999999999999E-3</v>
      </c>
      <c r="H76" s="44">
        <v>8.4191999999999999E-3</v>
      </c>
      <c r="I76" s="44">
        <v>3.7490500000000003E-2</v>
      </c>
      <c r="J76" s="44">
        <v>4.9159599999999998E-2</v>
      </c>
      <c r="K76" s="44">
        <v>-1.7080999999999999E-2</v>
      </c>
      <c r="L76" s="44">
        <v>-3.1199299999999999E-2</v>
      </c>
    </row>
    <row r="77" spans="1:14" x14ac:dyDescent="0.25">
      <c r="A77" s="65" t="s">
        <v>2395</v>
      </c>
      <c r="C77" s="44">
        <v>-1.341059</v>
      </c>
      <c r="D77" s="44">
        <v>-1.1807669999999999</v>
      </c>
      <c r="E77" s="44">
        <v>-2.011533</v>
      </c>
      <c r="F77" s="44">
        <v>-1.7777080000000001</v>
      </c>
      <c r="G77" s="44">
        <v>-2.1935530000000001</v>
      </c>
      <c r="H77" s="44">
        <v>-1.9749989999999999</v>
      </c>
      <c r="I77" s="44">
        <v>-2.8026420000000001</v>
      </c>
      <c r="J77" s="44">
        <v>-2.4843299999999999</v>
      </c>
      <c r="K77" s="44">
        <v>-2.6183960000000002</v>
      </c>
      <c r="L77" s="44">
        <v>-2.4381539999999999</v>
      </c>
    </row>
    <row r="78" spans="1:14" ht="58.35" customHeight="1" x14ac:dyDescent="0.25">
      <c r="A78" s="239" t="s">
        <v>3139</v>
      </c>
      <c r="B78" s="239"/>
      <c r="C78" s="239"/>
      <c r="D78" s="239"/>
      <c r="E78" s="239"/>
      <c r="F78" s="239"/>
      <c r="G78" s="239"/>
      <c r="H78" s="239"/>
      <c r="I78" s="239"/>
      <c r="J78" s="239"/>
      <c r="K78" s="239"/>
      <c r="L78" s="239"/>
      <c r="M78" s="186"/>
      <c r="N78" s="186"/>
    </row>
    <row r="79" spans="1:14" x14ac:dyDescent="0.25">
      <c r="A79" s="33" t="s">
        <v>3140</v>
      </c>
      <c r="B79" s="65"/>
      <c r="C79" s="44">
        <v>0.99180000000000001</v>
      </c>
      <c r="D79" s="118">
        <v>0.97699999999999998</v>
      </c>
      <c r="E79" s="44">
        <v>0.99180000000000001</v>
      </c>
      <c r="F79" s="44">
        <v>0.97440000000000004</v>
      </c>
      <c r="G79" s="44">
        <v>0.99380000000000002</v>
      </c>
      <c r="H79" s="44">
        <v>0.98740000000000006</v>
      </c>
      <c r="I79" s="44">
        <v>0.9929</v>
      </c>
      <c r="J79" s="44">
        <v>0.97760000000000002</v>
      </c>
      <c r="K79" s="44">
        <v>0.99139999999999995</v>
      </c>
      <c r="L79" s="44">
        <v>0.97499999999999998</v>
      </c>
    </row>
    <row r="80" spans="1:14" x14ac:dyDescent="0.25">
      <c r="E80" s="44"/>
      <c r="F80" s="118"/>
      <c r="G80" s="44"/>
      <c r="H80" s="44"/>
      <c r="I80" s="44"/>
      <c r="J80" s="44"/>
      <c r="K80" s="44"/>
      <c r="L80" s="44"/>
      <c r="M80" s="44"/>
      <c r="N80" s="44"/>
    </row>
    <row r="81" spans="1:14" x14ac:dyDescent="0.25">
      <c r="A81" s="65" t="s">
        <v>3169</v>
      </c>
      <c r="B81" s="65"/>
      <c r="C81" s="65"/>
      <c r="D81" s="65"/>
      <c r="E81" s="44"/>
      <c r="F81" s="118"/>
      <c r="G81" s="44"/>
      <c r="H81" s="44"/>
      <c r="I81" s="44"/>
      <c r="J81" s="44"/>
      <c r="K81" s="44"/>
      <c r="L81" s="44"/>
      <c r="M81" s="44"/>
      <c r="N81" s="44"/>
    </row>
    <row r="82" spans="1:14" x14ac:dyDescent="0.25">
      <c r="A82" s="65" t="s">
        <v>2397</v>
      </c>
      <c r="B82" s="65"/>
      <c r="C82" s="44">
        <v>1.0343</v>
      </c>
      <c r="D82" s="44">
        <v>1.0246</v>
      </c>
      <c r="E82" s="44">
        <v>1.0394000000000001</v>
      </c>
      <c r="F82" s="118">
        <v>1.0367</v>
      </c>
      <c r="G82" s="44">
        <v>1.0132000000000001</v>
      </c>
      <c r="H82" s="44">
        <v>1.0056</v>
      </c>
      <c r="I82" s="44">
        <v>1.0465</v>
      </c>
      <c r="J82" s="44">
        <v>1.0861000000000001</v>
      </c>
      <c r="K82" s="44">
        <v>1.028</v>
      </c>
      <c r="L82" s="118">
        <v>1.0165999999999999</v>
      </c>
    </row>
    <row r="83" spans="1:14" x14ac:dyDescent="0.25">
      <c r="A83" s="65" t="s">
        <v>2396</v>
      </c>
      <c r="B83" s="65"/>
      <c r="C83" s="118">
        <v>0.67030000000000001</v>
      </c>
      <c r="D83" s="118">
        <v>0.99770000000000003</v>
      </c>
      <c r="E83" s="118">
        <v>0.99570000000000003</v>
      </c>
      <c r="F83" s="118">
        <v>0.99709999999999999</v>
      </c>
      <c r="G83" s="118">
        <v>0.40870000000000001</v>
      </c>
      <c r="H83" s="118">
        <v>0.99739999999999995</v>
      </c>
      <c r="I83" s="118">
        <v>0.99319999999999997</v>
      </c>
      <c r="J83" s="118">
        <v>0.99780000000000002</v>
      </c>
      <c r="K83" s="118">
        <v>0.99439999999999995</v>
      </c>
      <c r="L83" s="118">
        <v>0.99580000000000002</v>
      </c>
    </row>
  </sheetData>
  <mergeCells count="21">
    <mergeCell ref="E3:N3"/>
    <mergeCell ref="E4:F4"/>
    <mergeCell ref="G4:H4"/>
    <mergeCell ref="I4:J4"/>
    <mergeCell ref="K4:L4"/>
    <mergeCell ref="M4:N4"/>
    <mergeCell ref="A78:L78"/>
    <mergeCell ref="K17:L17"/>
    <mergeCell ref="B45:B46"/>
    <mergeCell ref="A49:A50"/>
    <mergeCell ref="C49:D49"/>
    <mergeCell ref="E49:F49"/>
    <mergeCell ref="G49:H49"/>
    <mergeCell ref="I49:J49"/>
    <mergeCell ref="K49:L49"/>
    <mergeCell ref="A17:A18"/>
    <mergeCell ref="B17:B18"/>
    <mergeCell ref="C17:D17"/>
    <mergeCell ref="E17:F17"/>
    <mergeCell ref="G17:H17"/>
    <mergeCell ref="I17:J17"/>
  </mergeCells>
  <pageMargins left="0.25" right="0.25" top="0.75" bottom="0.75" header="0.3" footer="0.3"/>
  <pageSetup scale="88" orientation="landscape" horizontalDpi="1200" verticalDpi="12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F08ED-5B7E-405F-8F69-B4B7BA35D06B}">
  <sheetPr>
    <pageSetUpPr fitToPage="1"/>
  </sheetPr>
  <dimension ref="A1:N83"/>
  <sheetViews>
    <sheetView topLeftCell="A61" workbookViewId="0">
      <selection activeCell="A81" sqref="A81"/>
    </sheetView>
  </sheetViews>
  <sheetFormatPr defaultColWidth="8.85546875" defaultRowHeight="15" x14ac:dyDescent="0.25"/>
  <cols>
    <col min="1" max="1" width="48.42578125" style="33" customWidth="1"/>
    <col min="2" max="2" width="23.85546875" style="33" customWidth="1"/>
    <col min="3" max="3" width="11.5703125" style="33" customWidth="1"/>
    <col min="4" max="12" width="11.42578125" style="33" customWidth="1"/>
    <col min="13" max="14" width="11.140625" style="33" customWidth="1"/>
    <col min="15" max="16384" width="8.85546875" style="33"/>
  </cols>
  <sheetData>
    <row r="1" spans="1:14" x14ac:dyDescent="0.25">
      <c r="A1" s="65" t="s">
        <v>3156</v>
      </c>
      <c r="B1" s="65"/>
      <c r="C1" s="65"/>
      <c r="D1" s="65"/>
    </row>
    <row r="2" spans="1:14" ht="15.75" thickBot="1" x14ac:dyDescent="0.3">
      <c r="A2" s="65"/>
      <c r="B2" s="65"/>
      <c r="C2" s="65"/>
      <c r="D2" s="65"/>
    </row>
    <row r="3" spans="1:14" x14ac:dyDescent="0.25">
      <c r="A3" s="166" t="s">
        <v>3108</v>
      </c>
      <c r="B3" s="167" t="s">
        <v>3082</v>
      </c>
      <c r="C3" s="168" t="s">
        <v>3107</v>
      </c>
      <c r="D3" s="65"/>
      <c r="E3" s="241" t="s">
        <v>3152</v>
      </c>
      <c r="F3" s="242"/>
      <c r="G3" s="242"/>
      <c r="H3" s="242"/>
      <c r="I3" s="242"/>
      <c r="J3" s="242"/>
      <c r="K3" s="242"/>
      <c r="L3" s="242"/>
      <c r="M3" s="242"/>
      <c r="N3" s="243"/>
    </row>
    <row r="4" spans="1:14" x14ac:dyDescent="0.25">
      <c r="A4" s="169" t="s">
        <v>3112</v>
      </c>
      <c r="B4" s="33" t="s">
        <v>3083</v>
      </c>
      <c r="C4" s="170">
        <v>50</v>
      </c>
      <c r="D4" s="65"/>
      <c r="E4" s="244" t="s">
        <v>35</v>
      </c>
      <c r="F4" s="192"/>
      <c r="G4" s="192" t="s">
        <v>36</v>
      </c>
      <c r="H4" s="192"/>
      <c r="I4" s="192" t="s">
        <v>327</v>
      </c>
      <c r="J4" s="192"/>
      <c r="K4" s="192" t="s">
        <v>328</v>
      </c>
      <c r="L4" s="192"/>
      <c r="M4" s="192" t="s">
        <v>39</v>
      </c>
      <c r="N4" s="245"/>
    </row>
    <row r="5" spans="1:14" x14ac:dyDescent="0.25">
      <c r="A5" s="169" t="s">
        <v>3113</v>
      </c>
      <c r="B5" s="33" t="s">
        <v>3084</v>
      </c>
      <c r="C5" s="170">
        <v>200</v>
      </c>
      <c r="D5" s="65"/>
      <c r="E5" s="171" t="s">
        <v>330</v>
      </c>
      <c r="F5" s="124" t="s">
        <v>331</v>
      </c>
      <c r="G5" s="124" t="s">
        <v>330</v>
      </c>
      <c r="H5" s="124" t="s">
        <v>331</v>
      </c>
      <c r="I5" s="124" t="s">
        <v>330</v>
      </c>
      <c r="J5" s="124" t="s">
        <v>331</v>
      </c>
      <c r="K5" s="124" t="s">
        <v>330</v>
      </c>
      <c r="L5" s="124" t="s">
        <v>331</v>
      </c>
      <c r="M5" s="124" t="s">
        <v>330</v>
      </c>
      <c r="N5" s="172" t="s">
        <v>331</v>
      </c>
    </row>
    <row r="6" spans="1:14" ht="15.75" thickBot="1" x14ac:dyDescent="0.3">
      <c r="A6" s="169" t="s">
        <v>3114</v>
      </c>
      <c r="B6" s="33" t="s">
        <v>3085</v>
      </c>
      <c r="C6" s="170">
        <v>45</v>
      </c>
      <c r="D6" s="65"/>
      <c r="E6" s="173">
        <f t="shared" ref="E6:N6" si="0">C46</f>
        <v>0.53470304888748488</v>
      </c>
      <c r="F6" s="174">
        <f t="shared" si="0"/>
        <v>0.52961963531270284</v>
      </c>
      <c r="G6" s="174">
        <f t="shared" si="0"/>
        <v>0.36695490488059235</v>
      </c>
      <c r="H6" s="174">
        <f t="shared" si="0"/>
        <v>0.36104813165012845</v>
      </c>
      <c r="I6" s="174">
        <f t="shared" si="0"/>
        <v>0.40434948980611823</v>
      </c>
      <c r="J6" s="174">
        <f t="shared" si="0"/>
        <v>0.44704226557191912</v>
      </c>
      <c r="K6" s="174">
        <f t="shared" si="0"/>
        <v>0.21055631637332337</v>
      </c>
      <c r="L6" s="174">
        <f t="shared" si="0"/>
        <v>0.22454680215530715</v>
      </c>
      <c r="M6" s="174">
        <f t="shared" si="0"/>
        <v>0.23181015716946407</v>
      </c>
      <c r="N6" s="175">
        <f t="shared" si="0"/>
        <v>0.20858797704679272</v>
      </c>
    </row>
    <row r="7" spans="1:14" x14ac:dyDescent="0.25">
      <c r="A7" s="176" t="s">
        <v>3115</v>
      </c>
      <c r="B7" s="156" t="s">
        <v>3086</v>
      </c>
      <c r="C7" s="170">
        <v>160</v>
      </c>
      <c r="D7" s="65"/>
      <c r="E7" s="33" t="s">
        <v>3159</v>
      </c>
    </row>
    <row r="8" spans="1:14" x14ac:dyDescent="0.25">
      <c r="A8" s="169" t="s">
        <v>3087</v>
      </c>
      <c r="B8" s="177" t="s">
        <v>3088</v>
      </c>
      <c r="C8" s="170">
        <v>1</v>
      </c>
      <c r="D8" s="65"/>
    </row>
    <row r="9" spans="1:14" x14ac:dyDescent="0.25">
      <c r="A9" s="169" t="s">
        <v>3116</v>
      </c>
      <c r="B9" s="177" t="s">
        <v>3088</v>
      </c>
      <c r="C9" s="170">
        <v>0</v>
      </c>
      <c r="D9" s="65"/>
    </row>
    <row r="10" spans="1:14" ht="14.45" customHeight="1" x14ac:dyDescent="0.25">
      <c r="A10" s="178" t="s">
        <v>3117</v>
      </c>
      <c r="B10" s="156" t="s">
        <v>3118</v>
      </c>
      <c r="C10" s="170">
        <v>35</v>
      </c>
      <c r="D10" s="65"/>
      <c r="E10" s="118"/>
      <c r="F10" s="118"/>
      <c r="G10" s="118"/>
      <c r="H10" s="118"/>
      <c r="I10" s="118"/>
      <c r="J10" s="118"/>
      <c r="K10" s="118"/>
      <c r="L10" s="118"/>
      <c r="M10" s="118"/>
      <c r="N10" s="118"/>
    </row>
    <row r="11" spans="1:14" ht="14.45" customHeight="1" x14ac:dyDescent="0.25">
      <c r="A11" s="176" t="s">
        <v>3119</v>
      </c>
      <c r="B11" s="156" t="s">
        <v>3120</v>
      </c>
      <c r="C11" s="170">
        <v>90</v>
      </c>
      <c r="D11" s="65"/>
      <c r="E11" s="118"/>
      <c r="F11" s="118"/>
      <c r="G11" s="118"/>
      <c r="H11" s="118"/>
      <c r="I11" s="118"/>
      <c r="J11" s="118"/>
      <c r="K11" s="118"/>
      <c r="L11" s="118"/>
      <c r="M11" s="118"/>
      <c r="N11" s="118"/>
    </row>
    <row r="12" spans="1:14" x14ac:dyDescent="0.25">
      <c r="A12" s="169" t="s">
        <v>3121</v>
      </c>
      <c r="B12" s="177" t="s">
        <v>3088</v>
      </c>
      <c r="C12" s="170">
        <v>1</v>
      </c>
      <c r="D12" s="65"/>
      <c r="E12" s="118"/>
      <c r="F12" s="118"/>
      <c r="G12" s="118"/>
      <c r="H12" s="118"/>
      <c r="I12" s="118"/>
      <c r="J12" s="118"/>
      <c r="K12" s="118"/>
      <c r="L12" s="118"/>
      <c r="M12" s="118"/>
      <c r="N12" s="118"/>
    </row>
    <row r="13" spans="1:14" x14ac:dyDescent="0.25">
      <c r="A13" s="169" t="s">
        <v>3089</v>
      </c>
      <c r="B13" s="177" t="s">
        <v>3088</v>
      </c>
      <c r="C13" s="170">
        <v>0</v>
      </c>
      <c r="D13" s="65"/>
      <c r="E13" s="118"/>
      <c r="F13" s="118"/>
      <c r="G13" s="118"/>
      <c r="H13" s="118"/>
      <c r="I13" s="118"/>
      <c r="J13" s="118"/>
      <c r="K13" s="118"/>
      <c r="L13" s="118"/>
      <c r="M13" s="118"/>
      <c r="N13" s="118"/>
    </row>
    <row r="14" spans="1:14" ht="15.75" thickBot="1" x14ac:dyDescent="0.3">
      <c r="A14" s="179" t="s">
        <v>3149</v>
      </c>
      <c r="B14" s="188" t="s">
        <v>3104</v>
      </c>
      <c r="C14" s="181">
        <v>8</v>
      </c>
      <c r="D14" s="65"/>
      <c r="E14" s="118"/>
      <c r="F14" s="118"/>
      <c r="G14" s="118"/>
      <c r="H14" s="118"/>
      <c r="I14" s="118"/>
      <c r="J14" s="118"/>
      <c r="K14" s="118"/>
      <c r="L14" s="118"/>
      <c r="M14" s="118"/>
      <c r="N14" s="118"/>
    </row>
    <row r="15" spans="1:14" x14ac:dyDescent="0.25">
      <c r="A15" s="65"/>
      <c r="B15" s="65"/>
      <c r="C15" s="65"/>
      <c r="D15" s="65"/>
      <c r="E15" s="118"/>
      <c r="F15" s="118"/>
      <c r="G15" s="118"/>
      <c r="H15" s="118"/>
      <c r="I15" s="118"/>
      <c r="J15" s="118"/>
      <c r="K15" s="118"/>
      <c r="L15" s="118"/>
      <c r="M15" s="118"/>
      <c r="N15" s="118"/>
    </row>
    <row r="16" spans="1:14" x14ac:dyDescent="0.25">
      <c r="A16" s="65" t="s">
        <v>3122</v>
      </c>
      <c r="B16" s="65"/>
      <c r="C16" s="65"/>
      <c r="D16" s="65"/>
      <c r="E16" s="118"/>
      <c r="F16" s="118"/>
      <c r="G16" s="118"/>
      <c r="H16" s="118"/>
      <c r="I16" s="118"/>
      <c r="J16" s="118"/>
      <c r="K16" s="118"/>
      <c r="L16" s="118"/>
      <c r="M16" s="118"/>
      <c r="N16" s="118"/>
    </row>
    <row r="17" spans="1:12" ht="15" customHeight="1" x14ac:dyDescent="0.25">
      <c r="A17" s="236" t="s">
        <v>3168</v>
      </c>
      <c r="B17" s="236" t="s">
        <v>3109</v>
      </c>
      <c r="C17" s="192" t="s">
        <v>35</v>
      </c>
      <c r="D17" s="192"/>
      <c r="E17" s="192" t="s">
        <v>36</v>
      </c>
      <c r="F17" s="192"/>
      <c r="G17" s="192" t="s">
        <v>327</v>
      </c>
      <c r="H17" s="192"/>
      <c r="I17" s="192" t="s">
        <v>328</v>
      </c>
      <c r="J17" s="192"/>
      <c r="K17" s="192" t="s">
        <v>39</v>
      </c>
      <c r="L17" s="192"/>
    </row>
    <row r="18" spans="1:12" x14ac:dyDescent="0.25">
      <c r="A18" s="236"/>
      <c r="B18" s="236"/>
      <c r="C18" s="124" t="s">
        <v>330</v>
      </c>
      <c r="D18" s="124" t="s">
        <v>331</v>
      </c>
      <c r="E18" s="124" t="s">
        <v>330</v>
      </c>
      <c r="F18" s="124" t="s">
        <v>331</v>
      </c>
      <c r="G18" s="124" t="s">
        <v>330</v>
      </c>
      <c r="H18" s="124" t="s">
        <v>331</v>
      </c>
      <c r="I18" s="124" t="s">
        <v>330</v>
      </c>
      <c r="J18" s="124" t="s">
        <v>331</v>
      </c>
      <c r="K18" s="124" t="s">
        <v>330</v>
      </c>
      <c r="L18" s="124" t="s">
        <v>331</v>
      </c>
    </row>
    <row r="19" spans="1:12" x14ac:dyDescent="0.25">
      <c r="A19" s="33" t="s">
        <v>3123</v>
      </c>
      <c r="B19" s="177">
        <f>IF(AND(C4&gt;=30,C4&lt;80),(C4-55)/10, "out of range")</f>
        <v>-0.5</v>
      </c>
      <c r="C19" s="177">
        <f t="shared" ref="C19:L34" si="1">$B19*C51</f>
        <v>-0.25621165000000001</v>
      </c>
      <c r="D19" s="177">
        <f t="shared" si="1"/>
        <v>-0.21868850000000001</v>
      </c>
      <c r="E19" s="177">
        <f t="shared" si="1"/>
        <v>-0.21982725</v>
      </c>
      <c r="F19" s="177">
        <f t="shared" si="1"/>
        <v>-0.1874894</v>
      </c>
      <c r="G19" s="177">
        <f t="shared" si="1"/>
        <v>-0.29595484999999999</v>
      </c>
      <c r="H19" s="177">
        <f t="shared" si="1"/>
        <v>-0.26937634999999999</v>
      </c>
      <c r="I19" s="177">
        <f t="shared" si="1"/>
        <v>-0.23923410000000001</v>
      </c>
      <c r="J19" s="177">
        <f t="shared" si="1"/>
        <v>-0.19325870000000001</v>
      </c>
      <c r="K19" s="177">
        <f t="shared" si="1"/>
        <v>-0.21168989999999999</v>
      </c>
      <c r="L19" s="177">
        <f t="shared" si="1"/>
        <v>-0.18638170000000001</v>
      </c>
    </row>
    <row r="20" spans="1:12" x14ac:dyDescent="0.25">
      <c r="A20" s="33" t="s">
        <v>3153</v>
      </c>
      <c r="B20" s="10">
        <f>B19^2</f>
        <v>0.25</v>
      </c>
      <c r="C20" s="177">
        <f t="shared" si="1"/>
        <v>-2.4453974999999999E-2</v>
      </c>
      <c r="D20" s="177">
        <f t="shared" si="1"/>
        <v>-2.6110749999999999E-2</v>
      </c>
      <c r="E20" s="177">
        <f t="shared" si="1"/>
        <v>-2.2962224999999999E-2</v>
      </c>
      <c r="F20" s="177">
        <f t="shared" si="1"/>
        <v>-2.4751575000000001E-2</v>
      </c>
      <c r="G20" s="177">
        <f t="shared" si="1"/>
        <v>-2.5578324999999999E-2</v>
      </c>
      <c r="H20" s="177">
        <f t="shared" si="1"/>
        <v>-2.7258325E-2</v>
      </c>
      <c r="I20" s="177">
        <f t="shared" si="1"/>
        <v>-2.3740975000000001E-2</v>
      </c>
      <c r="J20" s="177">
        <f t="shared" si="1"/>
        <v>-2.4819299999999999E-2</v>
      </c>
      <c r="K20" s="177">
        <f t="shared" si="1"/>
        <v>-2.2587400000000001E-2</v>
      </c>
      <c r="L20" s="177">
        <f t="shared" si="1"/>
        <v>-2.4208575E-2</v>
      </c>
    </row>
    <row r="21" spans="1:12" x14ac:dyDescent="0.25">
      <c r="A21" s="33" t="s">
        <v>3124</v>
      </c>
      <c r="B21" s="177">
        <f>IF(AND(C5&gt;=130,C5&lt;=320,C6&gt;=20,C6&lt;=100),(C5-C6)*0.02586-3.5,"out of range")</f>
        <v>0.5083000000000002</v>
      </c>
      <c r="C21" s="177">
        <f t="shared" si="1"/>
        <v>1.6373918730000006E-2</v>
      </c>
      <c r="D21" s="177">
        <f t="shared" si="1"/>
        <v>4.1303085590000017E-2</v>
      </c>
      <c r="E21" s="177">
        <f t="shared" si="1"/>
        <v>5.7576615070000017E-2</v>
      </c>
      <c r="F21" s="177">
        <f t="shared" si="1"/>
        <v>8.6843309150000034E-2</v>
      </c>
      <c r="G21" s="177">
        <f t="shared" si="1"/>
        <v>0</v>
      </c>
      <c r="H21" s="177">
        <f t="shared" si="1"/>
        <v>0</v>
      </c>
      <c r="I21" s="177">
        <f t="shared" si="1"/>
        <v>8.5114885830000028E-2</v>
      </c>
      <c r="J21" s="177">
        <f t="shared" si="1"/>
        <v>0.13449282522000003</v>
      </c>
      <c r="K21" s="177">
        <f t="shared" si="1"/>
        <v>2.6474144710000008E-2</v>
      </c>
      <c r="L21" s="177">
        <f t="shared" si="1"/>
        <v>1.0818301390000005E-2</v>
      </c>
    </row>
    <row r="22" spans="1:12" x14ac:dyDescent="0.25">
      <c r="A22" s="33" t="s">
        <v>3125</v>
      </c>
      <c r="B22" s="177">
        <f>IF(AND(C6&gt;=20,C6&lt;=100),(C6*0.02586-1.3)/0.3,"out of range")</f>
        <v>-0.45433333333333364</v>
      </c>
      <c r="C22" s="177">
        <f t="shared" si="1"/>
        <v>7.8049196400000062E-2</v>
      </c>
      <c r="D22" s="177">
        <f t="shared" si="1"/>
        <v>4.8577274566666696E-2</v>
      </c>
      <c r="E22" s="177">
        <f t="shared" si="1"/>
        <v>7.019345503333338E-2</v>
      </c>
      <c r="F22" s="177">
        <f t="shared" si="1"/>
        <v>5.7829409433333381E-2</v>
      </c>
      <c r="G22" s="177">
        <f t="shared" si="1"/>
        <v>0</v>
      </c>
      <c r="H22" s="177">
        <f t="shared" si="1"/>
        <v>0</v>
      </c>
      <c r="I22" s="177">
        <f t="shared" si="1"/>
        <v>9.6052790800000065E-2</v>
      </c>
      <c r="J22" s="177">
        <f t="shared" si="1"/>
        <v>8.9945369533333389E-2</v>
      </c>
      <c r="K22" s="177">
        <f t="shared" si="1"/>
        <v>4.8289318100000034E-2</v>
      </c>
      <c r="L22" s="177">
        <f t="shared" si="1"/>
        <v>1.4567153366666677E-2</v>
      </c>
    </row>
    <row r="23" spans="1:12" x14ac:dyDescent="0.25">
      <c r="A23" s="33" t="s">
        <v>3090</v>
      </c>
      <c r="B23" s="177">
        <f>IF(AND(C7&gt;=90,C7&lt;=200),(MIN(C7,110)-110)/20,"out of range")</f>
        <v>0</v>
      </c>
      <c r="C23" s="177">
        <f t="shared" si="1"/>
        <v>0</v>
      </c>
      <c r="D23" s="177">
        <f t="shared" si="1"/>
        <v>0</v>
      </c>
      <c r="E23" s="177">
        <f t="shared" si="1"/>
        <v>0</v>
      </c>
      <c r="F23" s="177">
        <f t="shared" si="1"/>
        <v>0</v>
      </c>
      <c r="G23" s="177">
        <f t="shared" si="1"/>
        <v>0</v>
      </c>
      <c r="H23" s="177">
        <f t="shared" si="1"/>
        <v>0</v>
      </c>
      <c r="I23" s="177">
        <f t="shared" si="1"/>
        <v>0</v>
      </c>
      <c r="J23" s="177">
        <f t="shared" si="1"/>
        <v>0</v>
      </c>
      <c r="K23" s="177">
        <f t="shared" si="1"/>
        <v>0</v>
      </c>
      <c r="L23" s="177">
        <f t="shared" si="1"/>
        <v>0</v>
      </c>
    </row>
    <row r="24" spans="1:12" x14ac:dyDescent="0.25">
      <c r="A24" s="33" t="s">
        <v>3091</v>
      </c>
      <c r="B24" s="177">
        <f>IF(AND(C7&gt;=90,C7&lt;=200),(MAX(C7,110)-130)/20,"out of range")</f>
        <v>1.5</v>
      </c>
      <c r="C24" s="177">
        <f t="shared" si="1"/>
        <v>0.46116645000000001</v>
      </c>
      <c r="D24" s="177">
        <f t="shared" si="1"/>
        <v>0.40938839999999999</v>
      </c>
      <c r="E24" s="177">
        <f t="shared" si="1"/>
        <v>0.45738435</v>
      </c>
      <c r="F24" s="177">
        <f t="shared" si="1"/>
        <v>0.39890084999999997</v>
      </c>
      <c r="G24" s="177">
        <f t="shared" si="1"/>
        <v>0.45281399999999994</v>
      </c>
      <c r="H24" s="177">
        <f t="shared" si="1"/>
        <v>0.42653535000000004</v>
      </c>
      <c r="I24" s="177">
        <f t="shared" si="1"/>
        <v>0.45038729999999993</v>
      </c>
      <c r="J24" s="177">
        <f t="shared" si="1"/>
        <v>0.37951649999999998</v>
      </c>
      <c r="K24" s="177">
        <f t="shared" si="1"/>
        <v>0.4645917</v>
      </c>
      <c r="L24" s="177">
        <f t="shared" si="1"/>
        <v>0.42542969999999997</v>
      </c>
    </row>
    <row r="25" spans="1:12" x14ac:dyDescent="0.25">
      <c r="A25" s="33" t="s">
        <v>372</v>
      </c>
      <c r="B25" s="177">
        <f>IF(OR(C8=0,C8=1),C8,"out of range")</f>
        <v>1</v>
      </c>
      <c r="C25" s="177">
        <f t="shared" si="1"/>
        <v>0.67092750000000001</v>
      </c>
      <c r="D25" s="177">
        <f t="shared" si="1"/>
        <v>0.52790060000000005</v>
      </c>
      <c r="E25" s="177">
        <f t="shared" si="1"/>
        <v>0.63447940000000003</v>
      </c>
      <c r="F25" s="177">
        <f t="shared" si="1"/>
        <v>0.46765309999999999</v>
      </c>
      <c r="G25" s="177">
        <f t="shared" si="1"/>
        <v>0.81629090000000004</v>
      </c>
      <c r="H25" s="177">
        <f t="shared" si="1"/>
        <v>0.68276669999999995</v>
      </c>
      <c r="I25" s="177">
        <f t="shared" si="1"/>
        <v>0.67327230000000005</v>
      </c>
      <c r="J25" s="177">
        <f t="shared" si="1"/>
        <v>0.50769489999999995</v>
      </c>
      <c r="K25" s="177">
        <f t="shared" si="1"/>
        <v>0.58943129999999999</v>
      </c>
      <c r="L25" s="177">
        <f t="shared" si="1"/>
        <v>0.39448830000000001</v>
      </c>
    </row>
    <row r="26" spans="1:12" x14ac:dyDescent="0.25">
      <c r="A26" s="33" t="s">
        <v>3126</v>
      </c>
      <c r="B26" s="177">
        <f>IF(OR(C9=0,C9=1),C9,"out of range")</f>
        <v>0</v>
      </c>
      <c r="C26" s="177">
        <f t="shared" si="1"/>
        <v>0</v>
      </c>
      <c r="D26" s="177">
        <f t="shared" si="1"/>
        <v>0</v>
      </c>
      <c r="E26" s="177">
        <f t="shared" si="1"/>
        <v>0</v>
      </c>
      <c r="F26" s="177">
        <f t="shared" si="1"/>
        <v>0</v>
      </c>
      <c r="G26" s="177">
        <f t="shared" si="1"/>
        <v>0</v>
      </c>
      <c r="H26" s="177">
        <f t="shared" si="1"/>
        <v>0</v>
      </c>
      <c r="I26" s="177">
        <f t="shared" si="1"/>
        <v>0</v>
      </c>
      <c r="J26" s="177">
        <f t="shared" si="1"/>
        <v>0</v>
      </c>
      <c r="K26" s="177">
        <f t="shared" si="1"/>
        <v>0</v>
      </c>
      <c r="L26" s="177">
        <f t="shared" si="1"/>
        <v>0</v>
      </c>
    </row>
    <row r="27" spans="1:12" x14ac:dyDescent="0.25">
      <c r="A27" s="33" t="s">
        <v>3092</v>
      </c>
      <c r="B27" s="177">
        <f>IF(AND(C10&gt;=18.5,C10&lt;40),(MIN(C10,30)-25)/5,"out of range")</f>
        <v>1</v>
      </c>
      <c r="C27" s="177">
        <f t="shared" si="1"/>
        <v>0</v>
      </c>
      <c r="D27" s="177">
        <f t="shared" si="1"/>
        <v>0</v>
      </c>
      <c r="E27" s="177">
        <f t="shared" si="1"/>
        <v>0</v>
      </c>
      <c r="F27" s="177">
        <f t="shared" si="1"/>
        <v>0</v>
      </c>
      <c r="G27" s="177">
        <f t="shared" si="1"/>
        <v>5.74975E-2</v>
      </c>
      <c r="H27" s="177">
        <f t="shared" si="1"/>
        <v>6.1802799999999998E-2</v>
      </c>
      <c r="I27" s="177">
        <f t="shared" si="1"/>
        <v>0</v>
      </c>
      <c r="J27" s="177">
        <f t="shared" si="1"/>
        <v>0</v>
      </c>
      <c r="K27" s="177">
        <f t="shared" si="1"/>
        <v>0</v>
      </c>
      <c r="L27" s="177">
        <f t="shared" si="1"/>
        <v>0</v>
      </c>
    </row>
    <row r="28" spans="1:12" x14ac:dyDescent="0.25">
      <c r="A28" s="33" t="s">
        <v>3093</v>
      </c>
      <c r="B28" s="177">
        <f>IF(AND(C10&gt;=18.5,C10&lt;40),(MAX(C10,30)-30)/5,"out of range")</f>
        <v>1</v>
      </c>
      <c r="C28" s="177">
        <f t="shared" si="1"/>
        <v>0</v>
      </c>
      <c r="D28" s="177">
        <f t="shared" si="1"/>
        <v>0</v>
      </c>
      <c r="E28" s="177">
        <f t="shared" si="1"/>
        <v>0</v>
      </c>
      <c r="F28" s="177">
        <f t="shared" si="1"/>
        <v>0</v>
      </c>
      <c r="G28" s="177">
        <f t="shared" si="1"/>
        <v>0.23678260000000001</v>
      </c>
      <c r="H28" s="177">
        <f t="shared" si="1"/>
        <v>0.27056150000000001</v>
      </c>
      <c r="I28" s="177">
        <f t="shared" si="1"/>
        <v>0</v>
      </c>
      <c r="J28" s="177">
        <f t="shared" si="1"/>
        <v>0</v>
      </c>
      <c r="K28" s="177">
        <f t="shared" si="1"/>
        <v>0</v>
      </c>
      <c r="L28" s="177">
        <f t="shared" si="1"/>
        <v>0</v>
      </c>
    </row>
    <row r="29" spans="1:12" x14ac:dyDescent="0.25">
      <c r="A29" s="33" t="s">
        <v>3094</v>
      </c>
      <c r="B29" s="177">
        <f>IF(AND(C11&gt;=15,C11&lt;=150),(MIN(C11,60)-60)/-15,"out of range")</f>
        <v>0</v>
      </c>
      <c r="C29" s="177">
        <f t="shared" si="1"/>
        <v>0</v>
      </c>
      <c r="D29" s="177">
        <f t="shared" si="1"/>
        <v>0</v>
      </c>
      <c r="E29" s="177">
        <f t="shared" si="1"/>
        <v>0</v>
      </c>
      <c r="F29" s="177">
        <f t="shared" si="1"/>
        <v>0</v>
      </c>
      <c r="G29" s="177">
        <f t="shared" si="1"/>
        <v>0</v>
      </c>
      <c r="H29" s="177">
        <f t="shared" si="1"/>
        <v>0</v>
      </c>
      <c r="I29" s="177">
        <f t="shared" si="1"/>
        <v>0</v>
      </c>
      <c r="J29" s="177">
        <f t="shared" si="1"/>
        <v>0</v>
      </c>
      <c r="K29" s="177">
        <f t="shared" si="1"/>
        <v>0</v>
      </c>
      <c r="L29" s="177">
        <f t="shared" si="1"/>
        <v>0</v>
      </c>
    </row>
    <row r="30" spans="1:12" x14ac:dyDescent="0.25">
      <c r="A30" s="33" t="s">
        <v>3095</v>
      </c>
      <c r="B30" s="177">
        <f>IF(AND(C11&gt;=15,C11&lt;=150),(MAX(C11,60)-90)/-15,"out of range")</f>
        <v>0</v>
      </c>
      <c r="C30" s="177">
        <f t="shared" si="1"/>
        <v>0</v>
      </c>
      <c r="D30" s="177">
        <f t="shared" si="1"/>
        <v>0</v>
      </c>
      <c r="E30" s="177">
        <f t="shared" si="1"/>
        <v>0</v>
      </c>
      <c r="F30" s="177">
        <f t="shared" si="1"/>
        <v>0</v>
      </c>
      <c r="G30" s="177">
        <f t="shared" si="1"/>
        <v>0</v>
      </c>
      <c r="H30" s="177">
        <f t="shared" si="1"/>
        <v>0</v>
      </c>
      <c r="I30" s="177">
        <f t="shared" si="1"/>
        <v>0</v>
      </c>
      <c r="J30" s="177">
        <f t="shared" si="1"/>
        <v>0</v>
      </c>
      <c r="K30" s="177">
        <f t="shared" si="1"/>
        <v>0</v>
      </c>
      <c r="L30" s="177">
        <f t="shared" si="1"/>
        <v>0</v>
      </c>
    </row>
    <row r="31" spans="1:12" x14ac:dyDescent="0.25">
      <c r="A31" s="33" t="s">
        <v>3127</v>
      </c>
      <c r="B31" s="177">
        <f>IF(OR(C12=0,C12=1),C12,"out of range")</f>
        <v>1</v>
      </c>
      <c r="C31" s="177">
        <f t="shared" si="1"/>
        <v>0.29698059999999998</v>
      </c>
      <c r="D31" s="177">
        <f t="shared" si="1"/>
        <v>0.20282459999999999</v>
      </c>
      <c r="E31" s="177">
        <f t="shared" si="1"/>
        <v>0.19334870000000001</v>
      </c>
      <c r="F31" s="177">
        <f t="shared" si="1"/>
        <v>0.11470959999999999</v>
      </c>
      <c r="G31" s="177">
        <f t="shared" si="1"/>
        <v>0.33529350000000002</v>
      </c>
      <c r="H31" s="177">
        <f t="shared" si="1"/>
        <v>0.22632430000000001</v>
      </c>
      <c r="I31" s="177">
        <f t="shared" si="1"/>
        <v>0.1694184</v>
      </c>
      <c r="J31" s="177">
        <f t="shared" si="1"/>
        <v>5.6100700000000003E-2</v>
      </c>
      <c r="K31" s="177">
        <f t="shared" si="1"/>
        <v>0.20428760000000001</v>
      </c>
      <c r="L31" s="177">
        <f t="shared" si="1"/>
        <v>0.186366</v>
      </c>
    </row>
    <row r="32" spans="1:12" x14ac:dyDescent="0.25">
      <c r="A32" s="33" t="s">
        <v>3128</v>
      </c>
      <c r="B32" s="177">
        <f>IF(OR(C13=0,C13=1),C13,"out of range")</f>
        <v>0</v>
      </c>
      <c r="C32" s="177">
        <f t="shared" si="1"/>
        <v>0</v>
      </c>
      <c r="D32" s="177">
        <f t="shared" si="1"/>
        <v>0</v>
      </c>
      <c r="E32" s="177">
        <f t="shared" si="1"/>
        <v>0</v>
      </c>
      <c r="F32" s="177">
        <f t="shared" si="1"/>
        <v>0</v>
      </c>
      <c r="G32" s="177">
        <f t="shared" si="1"/>
        <v>0</v>
      </c>
      <c r="H32" s="177">
        <f t="shared" si="1"/>
        <v>0</v>
      </c>
      <c r="I32" s="177">
        <f t="shared" si="1"/>
        <v>0</v>
      </c>
      <c r="J32" s="177">
        <f t="shared" si="1"/>
        <v>0</v>
      </c>
      <c r="K32" s="177">
        <f t="shared" si="1"/>
        <v>0</v>
      </c>
      <c r="L32" s="177">
        <f t="shared" si="1"/>
        <v>0</v>
      </c>
    </row>
    <row r="33" spans="1:12" x14ac:dyDescent="0.25">
      <c r="A33" s="33" t="s">
        <v>3129</v>
      </c>
      <c r="B33" s="177">
        <f>B24*B31</f>
        <v>1.5</v>
      </c>
      <c r="C33" s="177">
        <f t="shared" si="1"/>
        <v>-6.8837549999999997E-2</v>
      </c>
      <c r="D33" s="177">
        <f t="shared" si="1"/>
        <v>-4.2551850000000002E-2</v>
      </c>
      <c r="E33" s="177">
        <f t="shared" si="1"/>
        <v>-3.4384350000000001E-2</v>
      </c>
      <c r="F33" s="177">
        <f t="shared" si="1"/>
        <v>-2.8003050000000002E-2</v>
      </c>
      <c r="G33" s="177">
        <f t="shared" si="1"/>
        <v>-0.11587979999999999</v>
      </c>
      <c r="H33" s="177">
        <f t="shared" si="1"/>
        <v>-4.7527650000000005E-2</v>
      </c>
      <c r="I33" s="177">
        <f t="shared" si="1"/>
        <v>-0.10485495</v>
      </c>
      <c r="J33" s="177">
        <f t="shared" si="1"/>
        <v>-7.8989400000000001E-2</v>
      </c>
      <c r="K33" s="177">
        <f t="shared" si="1"/>
        <v>3.9112499999999998E-3</v>
      </c>
      <c r="L33" s="177">
        <f t="shared" si="1"/>
        <v>3.7339200000000003E-2</v>
      </c>
    </row>
    <row r="34" spans="1:12" x14ac:dyDescent="0.25">
      <c r="A34" s="33" t="s">
        <v>3130</v>
      </c>
      <c r="B34" s="177">
        <f>B21*B32</f>
        <v>0</v>
      </c>
      <c r="C34" s="177">
        <f t="shared" si="1"/>
        <v>0</v>
      </c>
      <c r="D34" s="177">
        <f t="shared" si="1"/>
        <v>0</v>
      </c>
      <c r="E34" s="177">
        <f t="shared" si="1"/>
        <v>0</v>
      </c>
      <c r="F34" s="177">
        <f t="shared" si="1"/>
        <v>0</v>
      </c>
      <c r="G34" s="177">
        <f t="shared" si="1"/>
        <v>0</v>
      </c>
      <c r="H34" s="177">
        <f t="shared" si="1"/>
        <v>0</v>
      </c>
      <c r="I34" s="177">
        <f t="shared" si="1"/>
        <v>0</v>
      </c>
      <c r="J34" s="177">
        <f t="shared" si="1"/>
        <v>0</v>
      </c>
      <c r="K34" s="177">
        <f t="shared" si="1"/>
        <v>0</v>
      </c>
      <c r="L34" s="177">
        <f t="shared" si="1"/>
        <v>0</v>
      </c>
    </row>
    <row r="35" spans="1:12" x14ac:dyDescent="0.25">
      <c r="A35" s="33" t="s">
        <v>3131</v>
      </c>
      <c r="B35" s="177">
        <f>B19*B21</f>
        <v>-0.2541500000000001</v>
      </c>
      <c r="C35" s="177">
        <f t="shared" ref="C35:L43" si="2">$B35*C67</f>
        <v>1.9580198885000007E-2</v>
      </c>
      <c r="D35" s="177">
        <f t="shared" si="2"/>
        <v>1.2983354410000005E-2</v>
      </c>
      <c r="E35" s="177">
        <f t="shared" si="2"/>
        <v>1.4725018945000005E-2</v>
      </c>
      <c r="F35" s="177">
        <f t="shared" si="2"/>
        <v>7.8226607550000039E-3</v>
      </c>
      <c r="G35" s="177">
        <f t="shared" si="2"/>
        <v>0</v>
      </c>
      <c r="H35" s="177">
        <f t="shared" si="2"/>
        <v>0</v>
      </c>
      <c r="I35" s="177">
        <f t="shared" si="2"/>
        <v>1.7442009520000006E-2</v>
      </c>
      <c r="J35" s="177">
        <f t="shared" si="2"/>
        <v>1.4446140150000007E-2</v>
      </c>
      <c r="K35" s="177">
        <f t="shared" si="2"/>
        <v>1.0538685560000004E-2</v>
      </c>
      <c r="L35" s="177">
        <f t="shared" si="2"/>
        <v>-5.4312871600000028E-3</v>
      </c>
    </row>
    <row r="36" spans="1:12" x14ac:dyDescent="0.25">
      <c r="A36" s="33" t="s">
        <v>3132</v>
      </c>
      <c r="B36" s="177">
        <f>B19*B22</f>
        <v>0.22716666666666682</v>
      </c>
      <c r="C36" s="177">
        <f t="shared" si="2"/>
        <v>6.2775236666666708E-3</v>
      </c>
      <c r="D36" s="177">
        <f t="shared" si="2"/>
        <v>3.4128611333333358E-3</v>
      </c>
      <c r="E36" s="177">
        <f t="shared" si="2"/>
        <v>6.2246165500000044E-3</v>
      </c>
      <c r="F36" s="177">
        <f t="shared" si="2"/>
        <v>4.9550956333333368E-3</v>
      </c>
      <c r="G36" s="177">
        <f t="shared" si="2"/>
        <v>0</v>
      </c>
      <c r="H36" s="177">
        <f t="shared" si="2"/>
        <v>0</v>
      </c>
      <c r="I36" s="177">
        <f t="shared" si="2"/>
        <v>1.0310617950000007E-2</v>
      </c>
      <c r="J36" s="177">
        <f t="shared" si="2"/>
        <v>1.0966493550000008E-2</v>
      </c>
      <c r="K36" s="177">
        <f t="shared" si="2"/>
        <v>2.7413564666666683E-3</v>
      </c>
      <c r="L36" s="177">
        <f t="shared" si="2"/>
        <v>-3.3250839333333355E-3</v>
      </c>
    </row>
    <row r="37" spans="1:12" x14ac:dyDescent="0.25">
      <c r="A37" s="33" t="s">
        <v>3096</v>
      </c>
      <c r="B37" s="177">
        <f>B19*B24</f>
        <v>-0.75</v>
      </c>
      <c r="C37" s="177">
        <f t="shared" si="2"/>
        <v>7.4403374999999994E-2</v>
      </c>
      <c r="D37" s="177">
        <f t="shared" si="2"/>
        <v>8.2158599999999998E-2</v>
      </c>
      <c r="E37" s="177">
        <f t="shared" si="2"/>
        <v>7.7981175E-2</v>
      </c>
      <c r="F37" s="177">
        <f t="shared" si="2"/>
        <v>6.7368150000000002E-2</v>
      </c>
      <c r="G37" s="177">
        <f t="shared" si="2"/>
        <v>7.4635800000000002E-2</v>
      </c>
      <c r="H37" s="177">
        <f t="shared" si="2"/>
        <v>9.4403700000000007E-2</v>
      </c>
      <c r="I37" s="177">
        <f t="shared" si="2"/>
        <v>6.5367825000000004E-2</v>
      </c>
      <c r="J37" s="177">
        <f t="shared" si="2"/>
        <v>5.9258999999999999E-2</v>
      </c>
      <c r="K37" s="177">
        <f t="shared" si="2"/>
        <v>8.76807E-2</v>
      </c>
      <c r="L37" s="177">
        <f t="shared" si="2"/>
        <v>8.2293524999999992E-2</v>
      </c>
    </row>
    <row r="38" spans="1:12" x14ac:dyDescent="0.25">
      <c r="A38" s="33" t="s">
        <v>3133</v>
      </c>
      <c r="B38" s="177">
        <f>B19*B25</f>
        <v>-0.5</v>
      </c>
      <c r="C38" s="177">
        <f t="shared" si="2"/>
        <v>0.16040684999999999</v>
      </c>
      <c r="D38" s="177">
        <f t="shared" si="2"/>
        <v>0.12805544999999999</v>
      </c>
      <c r="E38" s="177">
        <f t="shared" si="2"/>
        <v>0.13925509999999999</v>
      </c>
      <c r="F38" s="177">
        <f t="shared" si="2"/>
        <v>0.105027</v>
      </c>
      <c r="G38" s="177">
        <f t="shared" si="2"/>
        <v>0.20002115000000001</v>
      </c>
      <c r="H38" s="177">
        <f t="shared" si="2"/>
        <v>0.16218545000000001</v>
      </c>
      <c r="I38" s="177">
        <f t="shared" si="2"/>
        <v>0.14073464999999999</v>
      </c>
      <c r="J38" s="177">
        <f t="shared" si="2"/>
        <v>0.1084084</v>
      </c>
      <c r="K38" s="177">
        <f t="shared" si="2"/>
        <v>0.13815659999999999</v>
      </c>
      <c r="L38" s="177">
        <f t="shared" si="2"/>
        <v>9.9027149999999994E-2</v>
      </c>
    </row>
    <row r="39" spans="1:12" x14ac:dyDescent="0.25">
      <c r="A39" s="33" t="s">
        <v>3134</v>
      </c>
      <c r="B39" s="177">
        <f>B19*B26</f>
        <v>0</v>
      </c>
      <c r="C39" s="177">
        <f t="shared" si="2"/>
        <v>0</v>
      </c>
      <c r="D39" s="177">
        <f t="shared" si="2"/>
        <v>0</v>
      </c>
      <c r="E39" s="177">
        <f t="shared" si="2"/>
        <v>0</v>
      </c>
      <c r="F39" s="177">
        <f t="shared" si="2"/>
        <v>0</v>
      </c>
      <c r="G39" s="177">
        <f t="shared" si="2"/>
        <v>0</v>
      </c>
      <c r="H39" s="177">
        <f t="shared" si="2"/>
        <v>0</v>
      </c>
      <c r="I39" s="177">
        <f t="shared" si="2"/>
        <v>0</v>
      </c>
      <c r="J39" s="177">
        <f t="shared" si="2"/>
        <v>0</v>
      </c>
      <c r="K39" s="177">
        <f t="shared" si="2"/>
        <v>0</v>
      </c>
      <c r="L39" s="177">
        <f t="shared" si="2"/>
        <v>0</v>
      </c>
    </row>
    <row r="40" spans="1:12" x14ac:dyDescent="0.25">
      <c r="A40" s="33" t="s">
        <v>3135</v>
      </c>
      <c r="B40" s="177">
        <f>B19*B28</f>
        <v>-0.5</v>
      </c>
      <c r="C40" s="177">
        <f t="shared" si="2"/>
        <v>0</v>
      </c>
      <c r="D40" s="177">
        <f t="shared" si="2"/>
        <v>0</v>
      </c>
      <c r="E40" s="177">
        <f t="shared" si="2"/>
        <v>0</v>
      </c>
      <c r="F40" s="177">
        <f t="shared" si="2"/>
        <v>0</v>
      </c>
      <c r="G40" s="177">
        <f t="shared" si="2"/>
        <v>-4.1523000000000003E-3</v>
      </c>
      <c r="H40" s="177">
        <f t="shared" si="2"/>
        <v>5.1545999999999996E-3</v>
      </c>
      <c r="I40" s="177">
        <f t="shared" si="2"/>
        <v>0</v>
      </c>
      <c r="J40" s="177">
        <f t="shared" si="2"/>
        <v>0</v>
      </c>
      <c r="K40" s="177">
        <f t="shared" si="2"/>
        <v>0</v>
      </c>
      <c r="L40" s="177">
        <f t="shared" si="2"/>
        <v>0</v>
      </c>
    </row>
    <row r="41" spans="1:12" x14ac:dyDescent="0.25">
      <c r="A41" s="33" t="s">
        <v>3136</v>
      </c>
      <c r="B41" s="177">
        <f>B19*B29</f>
        <v>0</v>
      </c>
      <c r="C41" s="177">
        <f t="shared" si="2"/>
        <v>0</v>
      </c>
      <c r="D41" s="177">
        <f t="shared" si="2"/>
        <v>0</v>
      </c>
      <c r="E41" s="177">
        <f t="shared" si="2"/>
        <v>0</v>
      </c>
      <c r="F41" s="177">
        <f t="shared" si="2"/>
        <v>0</v>
      </c>
      <c r="G41" s="177">
        <f t="shared" si="2"/>
        <v>0</v>
      </c>
      <c r="H41" s="177">
        <f t="shared" si="2"/>
        <v>0</v>
      </c>
      <c r="I41" s="177">
        <f t="shared" si="2"/>
        <v>0</v>
      </c>
      <c r="J41" s="177">
        <f t="shared" si="2"/>
        <v>0</v>
      </c>
      <c r="K41" s="177">
        <f t="shared" si="2"/>
        <v>0</v>
      </c>
      <c r="L41" s="177">
        <f t="shared" si="2"/>
        <v>0</v>
      </c>
    </row>
    <row r="42" spans="1:12" x14ac:dyDescent="0.25">
      <c r="A42" s="33" t="s">
        <v>3105</v>
      </c>
      <c r="B42" s="177">
        <f>IF(OR(C14=1,C14=2,C14=3,C14=4,C14=5,C14=6,C14=7,C14=8,C14=9,C14=10),IF(AND(C14&gt;3,C14&lt;7),1,0),"out of range")</f>
        <v>0</v>
      </c>
      <c r="C42" s="177">
        <f t="shared" si="2"/>
        <v>0</v>
      </c>
      <c r="D42" s="177">
        <f t="shared" si="2"/>
        <v>0</v>
      </c>
      <c r="E42" s="177">
        <f t="shared" si="2"/>
        <v>0</v>
      </c>
      <c r="F42" s="177">
        <f t="shared" si="2"/>
        <v>0</v>
      </c>
      <c r="G42" s="177">
        <f t="shared" si="2"/>
        <v>0</v>
      </c>
      <c r="H42" s="177">
        <f t="shared" si="2"/>
        <v>0</v>
      </c>
      <c r="I42" s="177">
        <f t="shared" si="2"/>
        <v>0</v>
      </c>
      <c r="J42" s="177">
        <f t="shared" si="2"/>
        <v>0</v>
      </c>
      <c r="K42" s="177">
        <f t="shared" si="2"/>
        <v>0</v>
      </c>
      <c r="L42" s="177">
        <f t="shared" si="2"/>
        <v>0</v>
      </c>
    </row>
    <row r="43" spans="1:12" x14ac:dyDescent="0.25">
      <c r="A43" s="33" t="s">
        <v>3106</v>
      </c>
      <c r="B43" s="177">
        <f>IF(OR(C14=1,C14=2,C14=3,C14=4,C14=5,C14=6,C14=7,C14=8,C14=9,C14=10),IF(C14&gt;6,1,0),"out of range")</f>
        <v>1</v>
      </c>
      <c r="C43" s="177">
        <f t="shared" si="2"/>
        <v>0.19758429999999999</v>
      </c>
      <c r="D43" s="177">
        <f t="shared" si="2"/>
        <v>0.2003953</v>
      </c>
      <c r="E43" s="177">
        <f t="shared" si="2"/>
        <v>0.19765369999999999</v>
      </c>
      <c r="F43" s="177">
        <f t="shared" si="2"/>
        <v>0.19494900000000001</v>
      </c>
      <c r="G43" s="177">
        <f t="shared" si="2"/>
        <v>0.19875429999999999</v>
      </c>
      <c r="H43" s="177">
        <f t="shared" si="2"/>
        <v>0.26198650000000001</v>
      </c>
      <c r="I43" s="177">
        <f t="shared" si="2"/>
        <v>0.19915189999999999</v>
      </c>
      <c r="J43" s="177">
        <f t="shared" si="2"/>
        <v>0.1560926</v>
      </c>
      <c r="K43" s="177">
        <f t="shared" si="2"/>
        <v>0.1750215</v>
      </c>
      <c r="L43" s="177">
        <f t="shared" si="2"/>
        <v>0.24511150000000001</v>
      </c>
    </row>
    <row r="44" spans="1:12" x14ac:dyDescent="0.25">
      <c r="A44" s="33" t="s">
        <v>2395</v>
      </c>
      <c r="B44" s="177">
        <v>1</v>
      </c>
      <c r="C44" s="177">
        <f t="shared" ref="C44:L44" si="3">$B44*C77</f>
        <v>-1.4932110000000001</v>
      </c>
      <c r="D44" s="177">
        <f t="shared" si="3"/>
        <v>-1.251031</v>
      </c>
      <c r="E44" s="177">
        <f t="shared" si="3"/>
        <v>-2.1169509999999998</v>
      </c>
      <c r="F44" s="177">
        <f t="shared" si="3"/>
        <v>-1.836632</v>
      </c>
      <c r="G44" s="177">
        <f t="shared" si="3"/>
        <v>-2.3178990000000002</v>
      </c>
      <c r="H44" s="177">
        <f t="shared" si="3"/>
        <v>-2.060187</v>
      </c>
      <c r="I44" s="177">
        <f t="shared" si="3"/>
        <v>-2.8609979999999999</v>
      </c>
      <c r="J44" s="177">
        <f t="shared" si="3"/>
        <v>-2.459219</v>
      </c>
      <c r="K44" s="177">
        <f t="shared" si="3"/>
        <v>-2.7149649999999999</v>
      </c>
      <c r="L44" s="177">
        <f t="shared" si="3"/>
        <v>-2.6095519999999999</v>
      </c>
    </row>
    <row r="45" spans="1:12" ht="14.45" customHeight="1" x14ac:dyDescent="0.25">
      <c r="A45" s="65" t="s">
        <v>3098</v>
      </c>
      <c r="B45" s="240" t="s">
        <v>3097</v>
      </c>
      <c r="C45" s="177">
        <f>SUM(C19:C44)</f>
        <v>0.13903573768166622</v>
      </c>
      <c r="D45" s="177">
        <f t="shared" ref="D45:L45" si="4">SUM(D19:D44)</f>
        <v>0.11861742570000011</v>
      </c>
      <c r="E45" s="177">
        <f t="shared" si="4"/>
        <v>-0.54530269440166657</v>
      </c>
      <c r="F45" s="177">
        <f t="shared" si="4"/>
        <v>-0.57081785002833341</v>
      </c>
      <c r="G45" s="177">
        <f t="shared" si="4"/>
        <v>-0.38737452500000025</v>
      </c>
      <c r="H45" s="177">
        <f t="shared" si="4"/>
        <v>-0.21262842500000012</v>
      </c>
      <c r="I45" s="177">
        <f t="shared" si="4"/>
        <v>-1.3215753458999997</v>
      </c>
      <c r="J45" s="177">
        <f t="shared" si="4"/>
        <v>-1.2393634715466666</v>
      </c>
      <c r="K45" s="177">
        <f t="shared" si="4"/>
        <v>-1.1981181451633329</v>
      </c>
      <c r="L45" s="177">
        <f t="shared" si="4"/>
        <v>-1.3334578163366666</v>
      </c>
    </row>
    <row r="46" spans="1:12" x14ac:dyDescent="0.25">
      <c r="A46" s="183" t="s">
        <v>3099</v>
      </c>
      <c r="B46" s="240"/>
      <c r="C46" s="184">
        <f>EXP(C45)/(1+EXP(C45))</f>
        <v>0.53470304888748488</v>
      </c>
      <c r="D46" s="184">
        <f t="shared" ref="D46:L46" si="5">EXP(D45)/(1+EXP(D45))</f>
        <v>0.52961963531270284</v>
      </c>
      <c r="E46" s="184">
        <f t="shared" si="5"/>
        <v>0.36695490488059235</v>
      </c>
      <c r="F46" s="184">
        <f t="shared" si="5"/>
        <v>0.36104813165012845</v>
      </c>
      <c r="G46" s="184">
        <f t="shared" si="5"/>
        <v>0.40434948980611823</v>
      </c>
      <c r="H46" s="184">
        <f t="shared" si="5"/>
        <v>0.44704226557191912</v>
      </c>
      <c r="I46" s="184">
        <f t="shared" si="5"/>
        <v>0.21055631637332337</v>
      </c>
      <c r="J46" s="184">
        <f t="shared" si="5"/>
        <v>0.22454680215530715</v>
      </c>
      <c r="K46" s="184">
        <f t="shared" si="5"/>
        <v>0.23181015716946407</v>
      </c>
      <c r="L46" s="184">
        <f t="shared" si="5"/>
        <v>0.20858797704679272</v>
      </c>
    </row>
    <row r="47" spans="1:12" x14ac:dyDescent="0.25">
      <c r="A47" s="183"/>
      <c r="B47" s="182"/>
      <c r="C47" s="184"/>
      <c r="D47" s="184"/>
      <c r="E47" s="184"/>
      <c r="F47" s="184"/>
      <c r="G47" s="184"/>
      <c r="H47" s="184"/>
      <c r="I47" s="184"/>
      <c r="J47" s="184"/>
      <c r="K47" s="184"/>
      <c r="L47" s="184"/>
    </row>
    <row r="48" spans="1:12" x14ac:dyDescent="0.25">
      <c r="A48" s="185" t="s">
        <v>3137</v>
      </c>
      <c r="B48" s="182"/>
      <c r="C48" s="184"/>
      <c r="D48" s="184"/>
      <c r="E48" s="184"/>
      <c r="F48" s="184"/>
      <c r="G48" s="184"/>
      <c r="H48" s="184"/>
      <c r="I48" s="184"/>
      <c r="J48" s="184"/>
      <c r="K48" s="184"/>
      <c r="L48" s="184"/>
    </row>
    <row r="49" spans="1:12" x14ac:dyDescent="0.25">
      <c r="A49" s="236" t="s">
        <v>3138</v>
      </c>
      <c r="C49" s="192" t="s">
        <v>35</v>
      </c>
      <c r="D49" s="192"/>
      <c r="E49" s="192" t="s">
        <v>36</v>
      </c>
      <c r="F49" s="192"/>
      <c r="G49" s="192" t="s">
        <v>327</v>
      </c>
      <c r="H49" s="192"/>
      <c r="I49" s="192" t="s">
        <v>328</v>
      </c>
      <c r="J49" s="192"/>
      <c r="K49" s="192" t="s">
        <v>39</v>
      </c>
      <c r="L49" s="192"/>
    </row>
    <row r="50" spans="1:12" x14ac:dyDescent="0.25">
      <c r="A50" s="236"/>
      <c r="B50" s="65"/>
      <c r="C50" s="124" t="s">
        <v>330</v>
      </c>
      <c r="D50" s="124" t="s">
        <v>331</v>
      </c>
      <c r="E50" s="124" t="s">
        <v>330</v>
      </c>
      <c r="F50" s="124" t="s">
        <v>331</v>
      </c>
      <c r="G50" s="124" t="s">
        <v>330</v>
      </c>
      <c r="H50" s="124" t="s">
        <v>331</v>
      </c>
      <c r="I50" s="124" t="s">
        <v>330</v>
      </c>
      <c r="J50" s="124" t="s">
        <v>331</v>
      </c>
      <c r="K50" s="124" t="s">
        <v>330</v>
      </c>
      <c r="L50" s="124" t="s">
        <v>331</v>
      </c>
    </row>
    <row r="51" spans="1:12" x14ac:dyDescent="0.25">
      <c r="A51" s="65" t="s">
        <v>3081</v>
      </c>
      <c r="C51" s="44">
        <v>0.51242330000000003</v>
      </c>
      <c r="D51" s="44">
        <v>0.43737700000000002</v>
      </c>
      <c r="E51" s="44">
        <v>0.4396545</v>
      </c>
      <c r="F51" s="44">
        <v>0.3749788</v>
      </c>
      <c r="G51" s="44">
        <v>0.59190969999999998</v>
      </c>
      <c r="H51" s="44">
        <v>0.53875269999999997</v>
      </c>
      <c r="I51" s="44">
        <v>0.47846820000000001</v>
      </c>
      <c r="J51" s="44">
        <v>0.38651740000000001</v>
      </c>
      <c r="K51" s="44">
        <v>0.42337979999999997</v>
      </c>
      <c r="L51" s="44">
        <v>0.37276340000000002</v>
      </c>
    </row>
    <row r="52" spans="1:12" x14ac:dyDescent="0.25">
      <c r="A52" s="19" t="s">
        <v>3080</v>
      </c>
      <c r="C52" s="44">
        <v>-9.7815899999999997E-2</v>
      </c>
      <c r="D52" s="44">
        <v>-0.10444299999999999</v>
      </c>
      <c r="E52" s="44">
        <v>-9.1848899999999997E-2</v>
      </c>
      <c r="F52" s="44">
        <v>-9.9006300000000005E-2</v>
      </c>
      <c r="G52" s="44">
        <v>-0.1023133</v>
      </c>
      <c r="H52" s="44">
        <v>-0.1090333</v>
      </c>
      <c r="I52" s="44">
        <v>-9.4963900000000004E-2</v>
      </c>
      <c r="J52" s="44">
        <v>-9.9277199999999996E-2</v>
      </c>
      <c r="K52" s="44">
        <v>-9.0349600000000002E-2</v>
      </c>
      <c r="L52" s="44">
        <v>-9.6834299999999998E-2</v>
      </c>
    </row>
    <row r="53" spans="1:12" x14ac:dyDescent="0.25">
      <c r="A53" s="65" t="s">
        <v>332</v>
      </c>
      <c r="C53" s="44">
        <v>3.2213100000000001E-2</v>
      </c>
      <c r="D53" s="44">
        <v>8.1257300000000005E-2</v>
      </c>
      <c r="E53" s="44">
        <v>0.1132729</v>
      </c>
      <c r="F53" s="44">
        <v>0.17085049999999999</v>
      </c>
      <c r="G53" s="44"/>
      <c r="H53" s="44"/>
      <c r="I53" s="44">
        <v>0.16745009999999999</v>
      </c>
      <c r="J53" s="44">
        <v>0.26459339999999998</v>
      </c>
      <c r="K53" s="44">
        <v>5.2083699999999997E-2</v>
      </c>
      <c r="L53" s="44">
        <v>2.1283300000000002E-2</v>
      </c>
    </row>
    <row r="54" spans="1:12" x14ac:dyDescent="0.25">
      <c r="A54" s="65" t="s">
        <v>341</v>
      </c>
      <c r="C54" s="44">
        <v>-0.17178840000000001</v>
      </c>
      <c r="D54" s="44">
        <v>-0.1069199</v>
      </c>
      <c r="E54" s="44">
        <v>-0.15449769999999999</v>
      </c>
      <c r="F54" s="44">
        <v>-0.12728410000000001</v>
      </c>
      <c r="G54" s="44"/>
      <c r="H54" s="44"/>
      <c r="I54" s="44">
        <v>-0.21141480000000001</v>
      </c>
      <c r="J54" s="44">
        <v>-0.19797219999999999</v>
      </c>
      <c r="K54" s="44">
        <v>-0.10628609999999999</v>
      </c>
      <c r="L54" s="44">
        <v>-3.20627E-2</v>
      </c>
    </row>
    <row r="55" spans="1:12" x14ac:dyDescent="0.25">
      <c r="A55" s="65" t="s">
        <v>350</v>
      </c>
      <c r="C55" s="44">
        <v>-0.13645360000000001</v>
      </c>
      <c r="D55" s="44">
        <v>-0.2786727</v>
      </c>
      <c r="E55" s="44">
        <v>3.6315E-2</v>
      </c>
      <c r="F55" s="44">
        <v>-0.12755549999999999</v>
      </c>
      <c r="G55" s="44">
        <v>-0.3864727</v>
      </c>
      <c r="H55" s="44">
        <v>-0.48290939999999999</v>
      </c>
      <c r="I55" s="44">
        <v>6.1505499999999998E-2</v>
      </c>
      <c r="J55" s="44">
        <v>-0.20066829999999999</v>
      </c>
      <c r="K55" s="44">
        <v>-1.2523599999999999E-2</v>
      </c>
      <c r="L55" s="44">
        <v>-5.0813700000000003E-2</v>
      </c>
    </row>
    <row r="56" spans="1:12" x14ac:dyDescent="0.25">
      <c r="A56" s="65" t="s">
        <v>361</v>
      </c>
      <c r="C56" s="44">
        <v>0.3074443</v>
      </c>
      <c r="D56" s="44">
        <v>0.27292559999999999</v>
      </c>
      <c r="E56" s="44">
        <v>0.3049229</v>
      </c>
      <c r="F56" s="44">
        <v>0.2659339</v>
      </c>
      <c r="G56" s="44">
        <v>0.30187599999999998</v>
      </c>
      <c r="H56" s="44">
        <v>0.28435690000000002</v>
      </c>
      <c r="I56" s="44">
        <v>0.30025819999999998</v>
      </c>
      <c r="J56" s="44">
        <v>0.25301099999999999</v>
      </c>
      <c r="K56" s="44">
        <v>0.3097278</v>
      </c>
      <c r="L56" s="44">
        <v>0.28361979999999998</v>
      </c>
    </row>
    <row r="57" spans="1:12" x14ac:dyDescent="0.25">
      <c r="A57" s="65" t="s">
        <v>372</v>
      </c>
      <c r="C57" s="44">
        <v>0.67092750000000001</v>
      </c>
      <c r="D57" s="44">
        <v>0.52790060000000005</v>
      </c>
      <c r="E57" s="44">
        <v>0.63447940000000003</v>
      </c>
      <c r="F57" s="44">
        <v>0.46765309999999999</v>
      </c>
      <c r="G57" s="44">
        <v>0.81629090000000004</v>
      </c>
      <c r="H57" s="44">
        <v>0.68276669999999995</v>
      </c>
      <c r="I57" s="44">
        <v>0.67327230000000005</v>
      </c>
      <c r="J57" s="44">
        <v>0.50769489999999995</v>
      </c>
      <c r="K57" s="44">
        <v>0.58943129999999999</v>
      </c>
      <c r="L57" s="44">
        <v>0.39448830000000001</v>
      </c>
    </row>
    <row r="58" spans="1:12" ht="14.45" customHeight="1" x14ac:dyDescent="0.25">
      <c r="A58" s="65" t="s">
        <v>383</v>
      </c>
      <c r="C58" s="44">
        <v>0.2897728</v>
      </c>
      <c r="D58" s="44">
        <v>0.1878949</v>
      </c>
      <c r="E58" s="44">
        <v>0.234514</v>
      </c>
      <c r="F58" s="44">
        <v>0.1610104</v>
      </c>
      <c r="G58" s="44">
        <v>0.34496470000000001</v>
      </c>
      <c r="H58" s="44">
        <v>0.24066770000000001</v>
      </c>
      <c r="I58" s="44">
        <v>0.27979660000000001</v>
      </c>
      <c r="J58" s="44">
        <v>0.1515368</v>
      </c>
      <c r="K58" s="44">
        <v>0.1937933</v>
      </c>
      <c r="L58" s="44">
        <v>0.16871140000000001</v>
      </c>
    </row>
    <row r="59" spans="1:12" ht="14.45" customHeight="1" x14ac:dyDescent="0.25">
      <c r="A59" s="65" t="s">
        <v>393</v>
      </c>
      <c r="C59" s="44"/>
      <c r="D59" s="44"/>
      <c r="E59" s="44"/>
      <c r="F59" s="44"/>
      <c r="G59" s="44">
        <v>5.74975E-2</v>
      </c>
      <c r="H59" s="44">
        <v>6.1802799999999998E-2</v>
      </c>
      <c r="I59" s="44"/>
      <c r="J59" s="44"/>
      <c r="K59" s="44"/>
      <c r="L59" s="44"/>
    </row>
    <row r="60" spans="1:12" ht="14.45" customHeight="1" x14ac:dyDescent="0.25">
      <c r="A60" s="65" t="s">
        <v>396</v>
      </c>
      <c r="C60" s="44"/>
      <c r="D60" s="44"/>
      <c r="E60" s="44"/>
      <c r="F60" s="44"/>
      <c r="G60" s="44">
        <v>0.23678260000000001</v>
      </c>
      <c r="H60" s="44">
        <v>0.27056150000000001</v>
      </c>
      <c r="I60" s="44"/>
      <c r="J60" s="44"/>
      <c r="K60" s="44"/>
      <c r="L60" s="44"/>
    </row>
    <row r="61" spans="1:12" ht="14.45" customHeight="1" x14ac:dyDescent="0.25">
      <c r="A61" s="65" t="s">
        <v>399</v>
      </c>
      <c r="C61" s="44">
        <v>0.16706579999999999</v>
      </c>
      <c r="D61" s="44">
        <v>8.6656899999999995E-2</v>
      </c>
      <c r="E61" s="44">
        <v>8.98312E-2</v>
      </c>
      <c r="F61" s="44">
        <v>-4.6514399999999997E-2</v>
      </c>
      <c r="G61" s="44">
        <v>0.27903470000000002</v>
      </c>
      <c r="H61" s="44">
        <v>0.2255837</v>
      </c>
      <c r="I61" s="44">
        <v>0.11373080000000001</v>
      </c>
      <c r="J61" s="44">
        <v>-3.5861200000000003E-2</v>
      </c>
      <c r="K61" s="44">
        <v>6.5189999999999998E-2</v>
      </c>
      <c r="L61" s="44">
        <v>-1.2482099999999999E-2</v>
      </c>
    </row>
    <row r="62" spans="1:12" x14ac:dyDescent="0.25">
      <c r="A62" s="65" t="s">
        <v>410</v>
      </c>
      <c r="C62" s="44">
        <v>6.18439E-2</v>
      </c>
      <c r="D62" s="44">
        <v>5.94948E-2</v>
      </c>
      <c r="E62" s="44">
        <v>5.6450199999999999E-2</v>
      </c>
      <c r="F62" s="44">
        <v>5.9699599999999999E-2</v>
      </c>
      <c r="G62" s="44">
        <v>7.4264499999999997E-2</v>
      </c>
      <c r="H62" s="44">
        <v>6.5363199999999996E-2</v>
      </c>
      <c r="I62" s="44">
        <v>4.2602000000000001E-2</v>
      </c>
      <c r="J62" s="44">
        <v>5.4415199999999997E-2</v>
      </c>
      <c r="K62" s="44">
        <v>6.7491599999999999E-2</v>
      </c>
      <c r="L62" s="44">
        <v>6.3335799999999998E-2</v>
      </c>
    </row>
    <row r="63" spans="1:12" x14ac:dyDescent="0.25">
      <c r="A63" s="65" t="s">
        <v>420</v>
      </c>
      <c r="C63" s="44">
        <v>0.29698059999999998</v>
      </c>
      <c r="D63" s="44">
        <v>0.20282459999999999</v>
      </c>
      <c r="E63" s="44">
        <v>0.19334870000000001</v>
      </c>
      <c r="F63" s="44">
        <v>0.11470959999999999</v>
      </c>
      <c r="G63" s="44">
        <v>0.33529350000000002</v>
      </c>
      <c r="H63" s="44">
        <v>0.22632430000000001</v>
      </c>
      <c r="I63" s="44">
        <v>0.1694184</v>
      </c>
      <c r="J63" s="44">
        <v>5.6100700000000003E-2</v>
      </c>
      <c r="K63" s="44">
        <v>0.20428760000000001</v>
      </c>
      <c r="L63" s="44">
        <v>0.186366</v>
      </c>
    </row>
    <row r="64" spans="1:12" ht="14.45" customHeight="1" x14ac:dyDescent="0.25">
      <c r="A64" s="65" t="s">
        <v>431</v>
      </c>
      <c r="C64" s="44">
        <v>-6.6551399999999997E-2</v>
      </c>
      <c r="D64" s="44">
        <v>-3.08404E-2</v>
      </c>
      <c r="E64" s="44">
        <v>2.2046699999999999E-2</v>
      </c>
      <c r="F64" s="44">
        <v>5.2906000000000003E-3</v>
      </c>
      <c r="G64" s="44"/>
      <c r="H64" s="44"/>
      <c r="I64" s="44">
        <v>3.4043700000000003E-2</v>
      </c>
      <c r="J64" s="44">
        <v>2.6794499999999999E-2</v>
      </c>
      <c r="K64" s="44">
        <v>-1.9616E-3</v>
      </c>
      <c r="L64" s="44">
        <v>-8.4542000000000003E-3</v>
      </c>
    </row>
    <row r="65" spans="1:14" ht="14.45" customHeight="1" x14ac:dyDescent="0.25">
      <c r="A65" s="65" t="s">
        <v>440</v>
      </c>
      <c r="C65" s="44">
        <v>-4.5891700000000001E-2</v>
      </c>
      <c r="D65" s="44">
        <v>-2.8367900000000001E-2</v>
      </c>
      <c r="E65" s="44">
        <v>-2.29229E-2</v>
      </c>
      <c r="F65" s="44">
        <v>-1.86687E-2</v>
      </c>
      <c r="G65" s="44">
        <v>-7.7253199999999994E-2</v>
      </c>
      <c r="H65" s="44">
        <v>-3.1685100000000001E-2</v>
      </c>
      <c r="I65" s="44">
        <v>-6.9903300000000002E-2</v>
      </c>
      <c r="J65" s="44">
        <v>-5.2659600000000001E-2</v>
      </c>
      <c r="K65" s="44">
        <v>2.6075E-3</v>
      </c>
      <c r="L65" s="44">
        <v>2.48928E-2</v>
      </c>
    </row>
    <row r="66" spans="1:14" x14ac:dyDescent="0.25">
      <c r="A66" s="65" t="s">
        <v>451</v>
      </c>
      <c r="C66" s="44">
        <v>0.1168505</v>
      </c>
      <c r="D66" s="44">
        <v>0.14393529999999999</v>
      </c>
      <c r="E66" s="44">
        <v>9.0332599999999999E-2</v>
      </c>
      <c r="F66" s="44">
        <v>0.1063151</v>
      </c>
      <c r="G66" s="44"/>
      <c r="H66" s="44"/>
      <c r="I66" s="44">
        <v>9.8153299999999999E-2</v>
      </c>
      <c r="J66" s="44">
        <v>7.8077900000000006E-2</v>
      </c>
      <c r="K66" s="44">
        <v>8.1585400000000002E-2</v>
      </c>
      <c r="L66" s="44">
        <v>0.14593429999999999</v>
      </c>
    </row>
    <row r="67" spans="1:14" x14ac:dyDescent="0.25">
      <c r="A67" s="65" t="s">
        <v>460</v>
      </c>
      <c r="C67" s="44">
        <v>-7.7041899999999996E-2</v>
      </c>
      <c r="D67" s="44">
        <v>-5.1085400000000003E-2</v>
      </c>
      <c r="E67" s="44">
        <v>-5.7938299999999998E-2</v>
      </c>
      <c r="F67" s="44">
        <v>-3.07797E-2</v>
      </c>
      <c r="I67" s="44">
        <v>-6.8628800000000004E-2</v>
      </c>
      <c r="J67" s="44">
        <v>-5.6841000000000003E-2</v>
      </c>
      <c r="K67" s="44">
        <v>-4.14664E-2</v>
      </c>
      <c r="L67" s="44">
        <v>2.1370400000000001E-2</v>
      </c>
    </row>
    <row r="68" spans="1:14" x14ac:dyDescent="0.25">
      <c r="A68" s="65" t="s">
        <v>3079</v>
      </c>
      <c r="C68" s="44">
        <v>2.7633999999999999E-2</v>
      </c>
      <c r="D68" s="44">
        <v>1.50236E-2</v>
      </c>
      <c r="E68" s="44">
        <v>2.7401100000000001E-2</v>
      </c>
      <c r="F68" s="44">
        <v>2.1812600000000001E-2</v>
      </c>
      <c r="G68" s="44"/>
      <c r="H68" s="44"/>
      <c r="I68" s="44">
        <v>4.5387900000000002E-2</v>
      </c>
      <c r="J68" s="44">
        <v>4.8275100000000001E-2</v>
      </c>
      <c r="K68" s="44">
        <v>1.20676E-2</v>
      </c>
      <c r="L68" s="44">
        <v>-1.46372E-2</v>
      </c>
    </row>
    <row r="69" spans="1:14" x14ac:dyDescent="0.25">
      <c r="A69" s="65" t="s">
        <v>475</v>
      </c>
      <c r="C69" s="44">
        <v>-9.9204500000000001E-2</v>
      </c>
      <c r="D69" s="44">
        <v>-0.1095448</v>
      </c>
      <c r="E69" s="44">
        <v>-0.1039749</v>
      </c>
      <c r="F69" s="44">
        <v>-8.9824200000000007E-2</v>
      </c>
      <c r="G69" s="44">
        <v>-9.9514400000000003E-2</v>
      </c>
      <c r="H69" s="44">
        <v>-0.1258716</v>
      </c>
      <c r="I69" s="44">
        <v>-8.7157100000000001E-2</v>
      </c>
      <c r="J69" s="44">
        <v>-7.9011999999999999E-2</v>
      </c>
      <c r="K69" s="44">
        <v>-0.1169076</v>
      </c>
      <c r="L69" s="44">
        <v>-0.10972469999999999</v>
      </c>
    </row>
    <row r="70" spans="1:14" x14ac:dyDescent="0.25">
      <c r="A70" s="65" t="s">
        <v>481</v>
      </c>
      <c r="C70" s="44">
        <v>-0.32081369999999998</v>
      </c>
      <c r="D70" s="44">
        <v>-0.25611089999999997</v>
      </c>
      <c r="E70" s="44">
        <v>-0.27851019999999999</v>
      </c>
      <c r="F70" s="44">
        <v>-0.21005399999999999</v>
      </c>
      <c r="G70" s="44">
        <v>-0.40004230000000002</v>
      </c>
      <c r="H70" s="44">
        <v>-0.32437090000000002</v>
      </c>
      <c r="I70" s="44">
        <v>-0.28146929999999998</v>
      </c>
      <c r="J70" s="44">
        <v>-0.2168168</v>
      </c>
      <c r="K70" s="44">
        <v>-0.27631319999999998</v>
      </c>
      <c r="L70" s="44">
        <v>-0.19805429999999999</v>
      </c>
    </row>
    <row r="71" spans="1:14" x14ac:dyDescent="0.25">
      <c r="A71" s="65" t="s">
        <v>492</v>
      </c>
      <c r="C71" s="44">
        <v>-0.13484699999999999</v>
      </c>
      <c r="D71" s="44">
        <v>-0.12829450000000001</v>
      </c>
      <c r="E71" s="44">
        <v>-0.1167267</v>
      </c>
      <c r="F71" s="44">
        <v>-0.1246327</v>
      </c>
      <c r="G71" s="44">
        <v>-0.17703350000000001</v>
      </c>
      <c r="H71" s="44">
        <v>-0.15961719999999999</v>
      </c>
      <c r="I71" s="44">
        <v>-0.1043265</v>
      </c>
      <c r="J71" s="44">
        <v>-0.1342293</v>
      </c>
      <c r="K71" s="44">
        <v>-0.1284758</v>
      </c>
      <c r="L71" s="44">
        <v>-0.1022135</v>
      </c>
    </row>
    <row r="72" spans="1:14" x14ac:dyDescent="0.25">
      <c r="A72" s="65" t="s">
        <v>501</v>
      </c>
      <c r="E72" s="44"/>
      <c r="F72" s="44"/>
      <c r="G72" s="44">
        <v>8.3046000000000005E-3</v>
      </c>
      <c r="H72" s="44">
        <v>-1.0309199999999999E-2</v>
      </c>
      <c r="I72" s="44"/>
      <c r="J72" s="44"/>
      <c r="K72" s="44"/>
      <c r="L72" s="44"/>
    </row>
    <row r="73" spans="1:14" x14ac:dyDescent="0.25">
      <c r="A73" s="65" t="s">
        <v>504</v>
      </c>
      <c r="C73" s="44">
        <v>-0.1399842</v>
      </c>
      <c r="D73" s="44">
        <v>-0.10110230000000001</v>
      </c>
      <c r="E73" s="44">
        <v>-0.1269382</v>
      </c>
      <c r="F73" s="44">
        <v>-6.29358E-2</v>
      </c>
      <c r="G73" s="44">
        <v>-0.149585</v>
      </c>
      <c r="H73" s="44">
        <v>-0.1204785</v>
      </c>
      <c r="I73" s="44">
        <v>-0.1106839</v>
      </c>
      <c r="J73" s="44">
        <v>-9.9118999999999995E-3</v>
      </c>
      <c r="K73" s="44">
        <v>-0.1284556</v>
      </c>
      <c r="L73" s="44">
        <v>-0.12045500000000001</v>
      </c>
    </row>
    <row r="74" spans="1:14" x14ac:dyDescent="0.25">
      <c r="A74" s="19" t="s">
        <v>798</v>
      </c>
      <c r="C74" s="44">
        <v>0.1129725</v>
      </c>
      <c r="D74" s="44">
        <v>3.14626E-2</v>
      </c>
      <c r="E74" s="44">
        <v>0.1149139</v>
      </c>
      <c r="F74" s="44">
        <v>1.99201E-2</v>
      </c>
      <c r="G74" s="44">
        <v>9.60646E-2</v>
      </c>
      <c r="H74" s="44">
        <v>6.8052799999999997E-2</v>
      </c>
      <c r="I74" s="44">
        <v>0.1382642</v>
      </c>
      <c r="J74" s="44">
        <v>2.5500999999999999E-2</v>
      </c>
      <c r="K74" s="44">
        <v>7.7312500000000006E-2</v>
      </c>
      <c r="L74" s="44">
        <v>3.5464500000000003E-2</v>
      </c>
    </row>
    <row r="75" spans="1:14" x14ac:dyDescent="0.25">
      <c r="A75" s="19" t="s">
        <v>808</v>
      </c>
      <c r="C75" s="44">
        <v>0.19758429999999999</v>
      </c>
      <c r="D75" s="44">
        <v>0.2003953</v>
      </c>
      <c r="E75" s="44">
        <v>0.19765369999999999</v>
      </c>
      <c r="F75" s="44">
        <v>0.19494900000000001</v>
      </c>
      <c r="G75" s="44">
        <v>0.19875429999999999</v>
      </c>
      <c r="H75" s="44">
        <v>0.26198650000000001</v>
      </c>
      <c r="I75" s="44">
        <v>0.19915189999999999</v>
      </c>
      <c r="J75" s="44">
        <v>0.1560926</v>
      </c>
      <c r="K75" s="44">
        <v>0.1750215</v>
      </c>
      <c r="L75" s="44">
        <v>0.24511150000000001</v>
      </c>
    </row>
    <row r="76" spans="1:14" x14ac:dyDescent="0.25">
      <c r="A76" s="19" t="s">
        <v>819</v>
      </c>
      <c r="C76" s="44">
        <v>0.1627381</v>
      </c>
      <c r="D76" s="44">
        <v>9.2745099999999997E-2</v>
      </c>
      <c r="E76" s="44">
        <v>0.1391241</v>
      </c>
      <c r="F76" s="44">
        <v>8.6383500000000002E-2</v>
      </c>
      <c r="G76" s="44">
        <v>0.15622140000000001</v>
      </c>
      <c r="H76" s="44">
        <v>0.11514240000000001</v>
      </c>
      <c r="I76" s="44">
        <v>0.1338539</v>
      </c>
      <c r="J76" s="44">
        <v>4.0047300000000001E-2</v>
      </c>
      <c r="K76" s="44">
        <v>0.115797</v>
      </c>
      <c r="L76" s="44">
        <v>0.13550200000000001</v>
      </c>
    </row>
    <row r="77" spans="1:14" x14ac:dyDescent="0.25">
      <c r="A77" s="65" t="s">
        <v>2395</v>
      </c>
      <c r="C77" s="44">
        <v>-1.4932110000000001</v>
      </c>
      <c r="D77" s="44">
        <v>-1.251031</v>
      </c>
      <c r="E77" s="44">
        <v>-2.1169509999999998</v>
      </c>
      <c r="F77" s="44">
        <v>-1.836632</v>
      </c>
      <c r="G77" s="44">
        <v>-2.3178990000000002</v>
      </c>
      <c r="H77" s="44">
        <v>-2.060187</v>
      </c>
      <c r="I77" s="44">
        <v>-2.8609979999999999</v>
      </c>
      <c r="J77" s="44">
        <v>-2.459219</v>
      </c>
      <c r="K77" s="44">
        <v>-2.7149649999999999</v>
      </c>
      <c r="L77" s="44">
        <v>-2.6095519999999999</v>
      </c>
    </row>
    <row r="78" spans="1:14" ht="58.35" customHeight="1" x14ac:dyDescent="0.25">
      <c r="A78" s="239" t="s">
        <v>3139</v>
      </c>
      <c r="B78" s="239"/>
      <c r="C78" s="239"/>
      <c r="D78" s="239"/>
      <c r="E78" s="239"/>
      <c r="F78" s="239"/>
      <c r="G78" s="239"/>
      <c r="H78" s="239"/>
      <c r="I78" s="239"/>
      <c r="J78" s="239"/>
      <c r="K78" s="239"/>
      <c r="L78" s="239"/>
      <c r="M78" s="186"/>
      <c r="N78" s="186"/>
    </row>
    <row r="79" spans="1:14" x14ac:dyDescent="0.25">
      <c r="A79" s="33" t="s">
        <v>3140</v>
      </c>
      <c r="B79" s="65"/>
      <c r="C79" s="118">
        <v>0.99199999999999999</v>
      </c>
      <c r="D79" s="118">
        <v>0.97440000000000004</v>
      </c>
      <c r="E79" s="44">
        <v>0.9919</v>
      </c>
      <c r="F79" s="44">
        <v>0.97109999999999996</v>
      </c>
      <c r="G79" s="44">
        <v>0.99399999999999999</v>
      </c>
      <c r="H79" s="44">
        <v>0.98619999999999997</v>
      </c>
      <c r="I79" s="44">
        <v>0.99309999999999998</v>
      </c>
      <c r="J79" s="44">
        <v>0.97519999999999996</v>
      </c>
      <c r="K79" s="44">
        <v>0.99139999999999995</v>
      </c>
      <c r="L79" s="44">
        <v>0.97170000000000001</v>
      </c>
    </row>
    <row r="80" spans="1:14" x14ac:dyDescent="0.25">
      <c r="E80" s="44"/>
      <c r="F80" s="118"/>
      <c r="G80" s="44"/>
      <c r="H80" s="44"/>
      <c r="I80" s="44"/>
      <c r="J80" s="44"/>
      <c r="K80" s="44"/>
      <c r="L80" s="44"/>
      <c r="M80" s="44"/>
      <c r="N80" s="44"/>
    </row>
    <row r="81" spans="1:14" x14ac:dyDescent="0.25">
      <c r="A81" s="65" t="s">
        <v>3169</v>
      </c>
      <c r="B81" s="65"/>
      <c r="C81" s="65"/>
      <c r="D81" s="65"/>
      <c r="E81" s="44"/>
      <c r="F81" s="118"/>
      <c r="G81" s="44"/>
      <c r="H81" s="44"/>
      <c r="I81" s="44"/>
      <c r="J81" s="44"/>
      <c r="K81" s="44"/>
      <c r="L81" s="44"/>
      <c r="M81" s="44"/>
      <c r="N81" s="44"/>
    </row>
    <row r="82" spans="1:14" x14ac:dyDescent="0.25">
      <c r="A82" s="65" t="s">
        <v>2397</v>
      </c>
      <c r="B82" s="65"/>
      <c r="C82" s="44">
        <v>1.0773999999999999</v>
      </c>
      <c r="D82" s="44">
        <v>1.0584</v>
      </c>
      <c r="E82" s="44">
        <v>1.0476000000000001</v>
      </c>
      <c r="F82" s="118">
        <v>1.0609999999999999</v>
      </c>
      <c r="G82" s="44">
        <v>1.0455000000000001</v>
      </c>
      <c r="H82" s="44">
        <v>1.0622</v>
      </c>
      <c r="I82" s="118">
        <v>1.024</v>
      </c>
      <c r="J82" s="44">
        <v>1.0913999999999999</v>
      </c>
      <c r="K82" s="118">
        <v>1.0142</v>
      </c>
      <c r="L82" s="118">
        <v>1.0442</v>
      </c>
    </row>
    <row r="83" spans="1:14" x14ac:dyDescent="0.25">
      <c r="A83" s="65" t="s">
        <v>2396</v>
      </c>
      <c r="B83" s="65"/>
      <c r="C83" s="118">
        <v>0.99739999999999995</v>
      </c>
      <c r="D83" s="118">
        <v>0.99660000000000004</v>
      </c>
      <c r="E83" s="118">
        <v>0.99770000000000003</v>
      </c>
      <c r="F83" s="118">
        <v>0.99570000000000003</v>
      </c>
      <c r="G83" s="118">
        <v>0.99890000000000001</v>
      </c>
      <c r="H83" s="118">
        <v>0.99809999999999999</v>
      </c>
      <c r="I83" s="118">
        <v>0.99770000000000003</v>
      </c>
      <c r="J83" s="118">
        <v>0.9919</v>
      </c>
      <c r="K83" s="118">
        <v>0.99819999999999998</v>
      </c>
      <c r="L83" s="118">
        <v>0.99650000000000005</v>
      </c>
    </row>
  </sheetData>
  <mergeCells count="21">
    <mergeCell ref="E3:N3"/>
    <mergeCell ref="E4:F4"/>
    <mergeCell ref="G4:H4"/>
    <mergeCell ref="I4:J4"/>
    <mergeCell ref="K4:L4"/>
    <mergeCell ref="M4:N4"/>
    <mergeCell ref="A78:L78"/>
    <mergeCell ref="K17:L17"/>
    <mergeCell ref="B45:B46"/>
    <mergeCell ref="A49:A50"/>
    <mergeCell ref="C49:D49"/>
    <mergeCell ref="E49:F49"/>
    <mergeCell ref="G49:H49"/>
    <mergeCell ref="I49:J49"/>
    <mergeCell ref="K49:L49"/>
    <mergeCell ref="A17:A18"/>
    <mergeCell ref="B17:B18"/>
    <mergeCell ref="C17:D17"/>
    <mergeCell ref="E17:F17"/>
    <mergeCell ref="G17:H17"/>
    <mergeCell ref="I17:J17"/>
  </mergeCells>
  <pageMargins left="0.25" right="0.25" top="0.75" bottom="0.75" header="0.3" footer="0.3"/>
  <pageSetup scale="88" orientation="landscape" horizontalDpi="1200" verticalDpi="12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392BB-B388-4091-887D-1336C65CEFDA}">
  <sheetPr>
    <pageSetUpPr fitToPage="1"/>
  </sheetPr>
  <dimension ref="A1:N93"/>
  <sheetViews>
    <sheetView topLeftCell="A70" workbookViewId="0">
      <selection activeCell="C98" sqref="C98"/>
    </sheetView>
  </sheetViews>
  <sheetFormatPr defaultColWidth="8.85546875" defaultRowHeight="15" x14ac:dyDescent="0.25"/>
  <cols>
    <col min="1" max="1" width="48.42578125" style="33" customWidth="1"/>
    <col min="2" max="2" width="23.85546875" style="33" customWidth="1"/>
    <col min="3" max="3" width="11.5703125" style="33" customWidth="1"/>
    <col min="4" max="12" width="11.42578125" style="33" customWidth="1"/>
    <col min="13" max="14" width="11.140625" style="33" customWidth="1"/>
    <col min="15" max="16384" width="8.85546875" style="33"/>
  </cols>
  <sheetData>
    <row r="1" spans="1:14" x14ac:dyDescent="0.25">
      <c r="A1" s="65" t="s">
        <v>3157</v>
      </c>
      <c r="B1" s="65"/>
      <c r="C1" s="65"/>
      <c r="D1" s="65"/>
    </row>
    <row r="2" spans="1:14" ht="15.75" thickBot="1" x14ac:dyDescent="0.3">
      <c r="A2" s="65"/>
      <c r="B2" s="65"/>
      <c r="C2" s="65"/>
      <c r="D2" s="65"/>
    </row>
    <row r="3" spans="1:14" x14ac:dyDescent="0.25">
      <c r="A3" s="166" t="s">
        <v>3108</v>
      </c>
      <c r="B3" s="167" t="s">
        <v>3082</v>
      </c>
      <c r="C3" s="168" t="s">
        <v>3107</v>
      </c>
      <c r="D3" s="65"/>
      <c r="E3" s="241" t="s">
        <v>3152</v>
      </c>
      <c r="F3" s="242"/>
      <c r="G3" s="242"/>
      <c r="H3" s="242"/>
      <c r="I3" s="242"/>
      <c r="J3" s="242"/>
      <c r="K3" s="242"/>
      <c r="L3" s="242"/>
      <c r="M3" s="242"/>
      <c r="N3" s="243"/>
    </row>
    <row r="4" spans="1:14" x14ac:dyDescent="0.25">
      <c r="A4" s="169" t="s">
        <v>3112</v>
      </c>
      <c r="B4" s="33" t="s">
        <v>3083</v>
      </c>
      <c r="C4" s="170">
        <v>50</v>
      </c>
      <c r="D4" s="65"/>
      <c r="E4" s="244" t="s">
        <v>35</v>
      </c>
      <c r="F4" s="192"/>
      <c r="G4" s="192" t="s">
        <v>36</v>
      </c>
      <c r="H4" s="192"/>
      <c r="I4" s="192" t="s">
        <v>327</v>
      </c>
      <c r="J4" s="192"/>
      <c r="K4" s="192" t="s">
        <v>328</v>
      </c>
      <c r="L4" s="192"/>
      <c r="M4" s="192" t="s">
        <v>39</v>
      </c>
      <c r="N4" s="245"/>
    </row>
    <row r="5" spans="1:14" x14ac:dyDescent="0.25">
      <c r="A5" s="169" t="s">
        <v>3113</v>
      </c>
      <c r="B5" s="33" t="s">
        <v>3084</v>
      </c>
      <c r="C5" s="170">
        <v>200</v>
      </c>
      <c r="D5" s="65"/>
      <c r="E5" s="171" t="s">
        <v>330</v>
      </c>
      <c r="F5" s="124" t="s">
        <v>331</v>
      </c>
      <c r="G5" s="124" t="s">
        <v>330</v>
      </c>
      <c r="H5" s="124" t="s">
        <v>331</v>
      </c>
      <c r="I5" s="124" t="s">
        <v>330</v>
      </c>
      <c r="J5" s="124" t="s">
        <v>331</v>
      </c>
      <c r="K5" s="124" t="s">
        <v>330</v>
      </c>
      <c r="L5" s="124" t="s">
        <v>331</v>
      </c>
      <c r="M5" s="124" t="s">
        <v>330</v>
      </c>
      <c r="N5" s="172" t="s">
        <v>331</v>
      </c>
    </row>
    <row r="6" spans="1:14" ht="15.75" thickBot="1" x14ac:dyDescent="0.3">
      <c r="A6" s="169" t="s">
        <v>3114</v>
      </c>
      <c r="B6" s="33" t="s">
        <v>3085</v>
      </c>
      <c r="C6" s="170">
        <v>45</v>
      </c>
      <c r="D6" s="65"/>
      <c r="E6" s="173">
        <f t="shared" ref="E6:N6" si="0">C51</f>
        <v>0.51965517573557063</v>
      </c>
      <c r="F6" s="174">
        <f t="shared" si="0"/>
        <v>0.51302515706144824</v>
      </c>
      <c r="G6" s="174">
        <f t="shared" si="0"/>
        <v>0.3437137287596968</v>
      </c>
      <c r="H6" s="174">
        <f t="shared" si="0"/>
        <v>0.33768129226082216</v>
      </c>
      <c r="I6" s="174">
        <f t="shared" si="0"/>
        <v>0.40502302842081939</v>
      </c>
      <c r="J6" s="174">
        <f t="shared" si="0"/>
        <v>0.43126511090753861</v>
      </c>
      <c r="K6" s="174">
        <f t="shared" si="0"/>
        <v>0.19812913004512173</v>
      </c>
      <c r="L6" s="174">
        <f t="shared" si="0"/>
        <v>0.21445025483626029</v>
      </c>
      <c r="M6" s="174">
        <f t="shared" si="0"/>
        <v>0.20767427433359961</v>
      </c>
      <c r="N6" s="175">
        <f t="shared" si="0"/>
        <v>0.18543939001383239</v>
      </c>
    </row>
    <row r="7" spans="1:14" x14ac:dyDescent="0.25">
      <c r="A7" s="176" t="s">
        <v>3115</v>
      </c>
      <c r="B7" s="156" t="s">
        <v>3086</v>
      </c>
      <c r="C7" s="170">
        <v>160</v>
      </c>
      <c r="D7" s="65"/>
      <c r="E7" s="33" t="s">
        <v>3159</v>
      </c>
    </row>
    <row r="8" spans="1:14" x14ac:dyDescent="0.25">
      <c r="A8" s="169" t="s">
        <v>3087</v>
      </c>
      <c r="B8" s="177" t="s">
        <v>3088</v>
      </c>
      <c r="C8" s="170">
        <v>1</v>
      </c>
      <c r="D8" s="65"/>
    </row>
    <row r="9" spans="1:14" x14ac:dyDescent="0.25">
      <c r="A9" s="169" t="s">
        <v>3116</v>
      </c>
      <c r="B9" s="177" t="s">
        <v>3088</v>
      </c>
      <c r="C9" s="170">
        <v>0</v>
      </c>
      <c r="D9" s="65"/>
    </row>
    <row r="10" spans="1:14" ht="14.45" customHeight="1" x14ac:dyDescent="0.25">
      <c r="A10" s="178" t="s">
        <v>3117</v>
      </c>
      <c r="B10" s="156" t="s">
        <v>3118</v>
      </c>
      <c r="C10" s="170">
        <v>35</v>
      </c>
      <c r="D10" s="65"/>
      <c r="E10" s="118"/>
      <c r="F10" s="118"/>
      <c r="G10" s="118"/>
      <c r="H10" s="118"/>
      <c r="I10" s="118"/>
      <c r="J10" s="118"/>
      <c r="K10" s="118"/>
      <c r="L10" s="118"/>
      <c r="M10" s="118"/>
      <c r="N10" s="118"/>
    </row>
    <row r="11" spans="1:14" ht="14.45" customHeight="1" x14ac:dyDescent="0.25">
      <c r="A11" s="176" t="s">
        <v>3119</v>
      </c>
      <c r="B11" s="156" t="s">
        <v>3120</v>
      </c>
      <c r="C11" s="170">
        <v>90</v>
      </c>
      <c r="D11" s="65"/>
      <c r="E11" s="118"/>
      <c r="F11" s="118"/>
      <c r="G11" s="118"/>
      <c r="H11" s="118"/>
      <c r="I11" s="118"/>
      <c r="J11" s="118"/>
      <c r="K11" s="118"/>
      <c r="L11" s="118"/>
      <c r="M11" s="118"/>
      <c r="N11" s="118"/>
    </row>
    <row r="12" spans="1:14" x14ac:dyDescent="0.25">
      <c r="A12" s="169" t="s">
        <v>3121</v>
      </c>
      <c r="B12" s="177" t="s">
        <v>3088</v>
      </c>
      <c r="C12" s="170">
        <v>1</v>
      </c>
      <c r="D12" s="65"/>
      <c r="E12" s="118"/>
      <c r="F12" s="118"/>
      <c r="G12" s="118"/>
      <c r="H12" s="118"/>
      <c r="I12" s="118"/>
      <c r="J12" s="118"/>
      <c r="K12" s="118"/>
      <c r="L12" s="118"/>
      <c r="M12" s="118"/>
      <c r="N12" s="118"/>
    </row>
    <row r="13" spans="1:14" x14ac:dyDescent="0.25">
      <c r="A13" s="169" t="s">
        <v>3089</v>
      </c>
      <c r="B13" s="177" t="s">
        <v>3088</v>
      </c>
      <c r="C13" s="170">
        <v>0</v>
      </c>
      <c r="D13" s="65"/>
      <c r="E13" s="118"/>
      <c r="F13" s="118"/>
      <c r="G13" s="118"/>
      <c r="H13" s="118"/>
      <c r="I13" s="118"/>
      <c r="J13" s="118"/>
      <c r="K13" s="118"/>
      <c r="L13" s="118"/>
      <c r="M13" s="118"/>
      <c r="N13" s="118"/>
    </row>
    <row r="14" spans="1:14" x14ac:dyDescent="0.25">
      <c r="A14" s="169" t="s">
        <v>3142</v>
      </c>
      <c r="B14" s="177" t="s">
        <v>3100</v>
      </c>
      <c r="C14" s="170">
        <v>40</v>
      </c>
      <c r="D14" s="65"/>
      <c r="E14" s="118"/>
      <c r="F14" s="118"/>
      <c r="G14" s="118"/>
      <c r="H14" s="118"/>
      <c r="I14" s="118"/>
      <c r="J14" s="118"/>
      <c r="K14" s="118"/>
      <c r="L14" s="118"/>
      <c r="M14" s="118"/>
      <c r="N14" s="118"/>
    </row>
    <row r="15" spans="1:14" x14ac:dyDescent="0.25">
      <c r="A15" s="169" t="s">
        <v>3147</v>
      </c>
      <c r="B15" s="177" t="s">
        <v>3101</v>
      </c>
      <c r="C15" s="170">
        <v>7.5</v>
      </c>
      <c r="D15" s="65"/>
      <c r="E15" s="118"/>
      <c r="F15" s="118"/>
      <c r="G15" s="118"/>
      <c r="H15" s="118"/>
      <c r="I15" s="118"/>
      <c r="J15" s="118"/>
      <c r="K15" s="118"/>
      <c r="L15" s="118"/>
      <c r="M15" s="118"/>
      <c r="N15" s="118"/>
    </row>
    <row r="16" spans="1:14" ht="15.75" thickBot="1" x14ac:dyDescent="0.3">
      <c r="A16" s="179" t="s">
        <v>3149</v>
      </c>
      <c r="B16" s="188" t="s">
        <v>3104</v>
      </c>
      <c r="C16" s="181">
        <v>8</v>
      </c>
      <c r="D16" s="65"/>
      <c r="E16" s="118"/>
      <c r="F16" s="118"/>
      <c r="G16" s="118"/>
      <c r="H16" s="118"/>
      <c r="I16" s="118"/>
      <c r="J16" s="118"/>
      <c r="K16" s="118"/>
      <c r="L16" s="118"/>
      <c r="M16" s="118"/>
      <c r="N16" s="118"/>
    </row>
    <row r="17" spans="1:14" x14ac:dyDescent="0.25">
      <c r="A17" s="65"/>
      <c r="B17" s="65"/>
      <c r="C17" s="65"/>
      <c r="D17" s="65"/>
      <c r="E17" s="118"/>
      <c r="F17" s="118"/>
      <c r="G17" s="118"/>
      <c r="H17" s="118"/>
      <c r="I17" s="118"/>
      <c r="J17" s="118"/>
      <c r="K17" s="118"/>
      <c r="L17" s="118"/>
      <c r="M17" s="118"/>
      <c r="N17" s="118"/>
    </row>
    <row r="18" spans="1:14" x14ac:dyDescent="0.25">
      <c r="A18" s="65" t="s">
        <v>3122</v>
      </c>
      <c r="B18" s="65"/>
      <c r="C18" s="65"/>
      <c r="D18" s="65"/>
      <c r="E18" s="118"/>
      <c r="F18" s="118"/>
      <c r="G18" s="118"/>
      <c r="H18" s="118"/>
      <c r="I18" s="118"/>
      <c r="J18" s="118"/>
      <c r="K18" s="118"/>
      <c r="L18" s="118"/>
      <c r="M18" s="118"/>
      <c r="N18" s="118"/>
    </row>
    <row r="19" spans="1:14" ht="15" customHeight="1" x14ac:dyDescent="0.25">
      <c r="A19" s="236" t="s">
        <v>3168</v>
      </c>
      <c r="B19" s="236" t="s">
        <v>3109</v>
      </c>
      <c r="C19" s="192" t="s">
        <v>35</v>
      </c>
      <c r="D19" s="192"/>
      <c r="E19" s="192" t="s">
        <v>36</v>
      </c>
      <c r="F19" s="192"/>
      <c r="G19" s="192" t="s">
        <v>327</v>
      </c>
      <c r="H19" s="192"/>
      <c r="I19" s="192" t="s">
        <v>328</v>
      </c>
      <c r="J19" s="192"/>
      <c r="K19" s="192" t="s">
        <v>39</v>
      </c>
      <c r="L19" s="192"/>
    </row>
    <row r="20" spans="1:14" x14ac:dyDescent="0.25">
      <c r="A20" s="236"/>
      <c r="B20" s="236"/>
      <c r="C20" s="124" t="s">
        <v>330</v>
      </c>
      <c r="D20" s="124" t="s">
        <v>331</v>
      </c>
      <c r="E20" s="124" t="s">
        <v>330</v>
      </c>
      <c r="F20" s="124" t="s">
        <v>331</v>
      </c>
      <c r="G20" s="124" t="s">
        <v>330</v>
      </c>
      <c r="H20" s="124" t="s">
        <v>331</v>
      </c>
      <c r="I20" s="124" t="s">
        <v>330</v>
      </c>
      <c r="J20" s="124" t="s">
        <v>331</v>
      </c>
      <c r="K20" s="124" t="s">
        <v>330</v>
      </c>
      <c r="L20" s="124" t="s">
        <v>331</v>
      </c>
    </row>
    <row r="21" spans="1:14" x14ac:dyDescent="0.25">
      <c r="A21" s="33" t="s">
        <v>3123</v>
      </c>
      <c r="B21" s="177">
        <f>IF(AND(C4&gt;=30,C4&lt;80),(C4-55)/10, "out of range")</f>
        <v>-0.5</v>
      </c>
      <c r="C21" s="177">
        <f t="shared" ref="C21:L36" si="1">$B21*C56</f>
        <v>-0.25368744999999998</v>
      </c>
      <c r="D21" s="177">
        <f t="shared" si="1"/>
        <v>-0.22137974999999999</v>
      </c>
      <c r="E21" s="177">
        <f t="shared" si="1"/>
        <v>-0.21933695</v>
      </c>
      <c r="F21" s="177">
        <f t="shared" si="1"/>
        <v>-0.18717829999999999</v>
      </c>
      <c r="G21" s="177">
        <f t="shared" si="1"/>
        <v>-0.29637534999999998</v>
      </c>
      <c r="H21" s="177">
        <f t="shared" si="1"/>
        <v>-0.27394144999999998</v>
      </c>
      <c r="I21" s="177">
        <f t="shared" si="1"/>
        <v>-0.23744000000000001</v>
      </c>
      <c r="J21" s="177">
        <f t="shared" si="1"/>
        <v>-0.1929149</v>
      </c>
      <c r="K21" s="177">
        <f t="shared" si="1"/>
        <v>-0.21019455000000001</v>
      </c>
      <c r="L21" s="177">
        <f t="shared" si="1"/>
        <v>-0.18813754999999999</v>
      </c>
    </row>
    <row r="22" spans="1:14" x14ac:dyDescent="0.25">
      <c r="A22" s="33" t="s">
        <v>3153</v>
      </c>
      <c r="B22" s="10">
        <f>B21^2</f>
        <v>0.25</v>
      </c>
      <c r="C22" s="177">
        <f t="shared" si="1"/>
        <v>-2.4543775E-2</v>
      </c>
      <c r="D22" s="177">
        <f t="shared" si="1"/>
        <v>-2.66027E-2</v>
      </c>
      <c r="E22" s="177">
        <f t="shared" si="1"/>
        <v>-2.3048900000000001E-2</v>
      </c>
      <c r="F22" s="177">
        <f t="shared" si="1"/>
        <v>-2.4887474999999999E-2</v>
      </c>
      <c r="G22" s="177">
        <f t="shared" si="1"/>
        <v>-2.5718850000000001E-2</v>
      </c>
      <c r="H22" s="177">
        <f t="shared" si="1"/>
        <v>-2.7798199999999999E-2</v>
      </c>
      <c r="I22" s="177">
        <f t="shared" si="1"/>
        <v>-2.3768325E-2</v>
      </c>
      <c r="J22" s="177">
        <f t="shared" si="1"/>
        <v>-2.4853275000000001E-2</v>
      </c>
      <c r="K22" s="177">
        <f t="shared" si="1"/>
        <v>-2.2597625E-2</v>
      </c>
      <c r="L22" s="177">
        <f t="shared" si="1"/>
        <v>-2.4368049999999999E-2</v>
      </c>
    </row>
    <row r="23" spans="1:14" x14ac:dyDescent="0.25">
      <c r="A23" s="33" t="s">
        <v>3124</v>
      </c>
      <c r="B23" s="177">
        <f>IF(AND(C5&gt;=130,C5&lt;=320,C6&gt;=20,C6&lt;=100),(C5-C6)*0.02586-3.5,"out of range")</f>
        <v>0.5083000000000002</v>
      </c>
      <c r="C23" s="177">
        <f t="shared" si="1"/>
        <v>8.2498614900000031E-3</v>
      </c>
      <c r="D23" s="177">
        <f t="shared" si="1"/>
        <v>3.199143623000001E-2</v>
      </c>
      <c r="E23" s="177">
        <f t="shared" si="1"/>
        <v>4.9697914240000023E-2</v>
      </c>
      <c r="F23" s="177">
        <f t="shared" si="1"/>
        <v>7.8522590640000028E-2</v>
      </c>
      <c r="G23" s="177">
        <f t="shared" si="1"/>
        <v>0</v>
      </c>
      <c r="H23" s="177">
        <f t="shared" si="1"/>
        <v>0</v>
      </c>
      <c r="I23" s="177">
        <f t="shared" si="1"/>
        <v>7.4845904250000025E-2</v>
      </c>
      <c r="J23" s="177">
        <f t="shared" si="1"/>
        <v>0.12603994871000004</v>
      </c>
      <c r="K23" s="177">
        <f t="shared" si="1"/>
        <v>1.9472210550000008E-2</v>
      </c>
      <c r="L23" s="177">
        <f t="shared" si="1"/>
        <v>2.7524445000000008E-3</v>
      </c>
    </row>
    <row r="24" spans="1:14" x14ac:dyDescent="0.25">
      <c r="A24" s="33" t="s">
        <v>3125</v>
      </c>
      <c r="B24" s="177">
        <f>IF(AND(C6&gt;=20,C6&lt;=100),(C6*0.02586-1.3)/0.3,"out of range")</f>
        <v>-0.45433333333333364</v>
      </c>
      <c r="C24" s="177">
        <f t="shared" si="1"/>
        <v>7.3472378700000049E-2</v>
      </c>
      <c r="D24" s="177">
        <f t="shared" si="1"/>
        <v>4.6134233366666701E-2</v>
      </c>
      <c r="E24" s="177">
        <f t="shared" si="1"/>
        <v>6.6038485833333382E-2</v>
      </c>
      <c r="F24" s="177">
        <f t="shared" si="1"/>
        <v>5.5214993700000041E-2</v>
      </c>
      <c r="G24" s="177">
        <f t="shared" si="1"/>
        <v>0</v>
      </c>
      <c r="H24" s="177">
        <f t="shared" si="1"/>
        <v>0</v>
      </c>
      <c r="I24" s="177">
        <f t="shared" si="1"/>
        <v>9.0572213233333393E-2</v>
      </c>
      <c r="J24" s="177">
        <f t="shared" si="1"/>
        <v>8.6928868800000059E-2</v>
      </c>
      <c r="K24" s="177">
        <f t="shared" si="1"/>
        <v>4.4961826200000034E-2</v>
      </c>
      <c r="L24" s="177">
        <f t="shared" si="1"/>
        <v>1.3070897400000009E-2</v>
      </c>
    </row>
    <row r="25" spans="1:14" x14ac:dyDescent="0.25">
      <c r="A25" s="33" t="s">
        <v>3090</v>
      </c>
      <c r="B25" s="177">
        <f>IF(AND(C7&gt;=90,C7&lt;=200),(MIN(C7,110)-110)/20,"out of range")</f>
        <v>0</v>
      </c>
      <c r="C25" s="177">
        <f t="shared" si="1"/>
        <v>0</v>
      </c>
      <c r="D25" s="177">
        <f t="shared" si="1"/>
        <v>0</v>
      </c>
      <c r="E25" s="177">
        <f t="shared" si="1"/>
        <v>0</v>
      </c>
      <c r="F25" s="177">
        <f t="shared" si="1"/>
        <v>0</v>
      </c>
      <c r="G25" s="177">
        <f t="shared" si="1"/>
        <v>0</v>
      </c>
      <c r="H25" s="177">
        <f t="shared" si="1"/>
        <v>0</v>
      </c>
      <c r="I25" s="177">
        <f t="shared" si="1"/>
        <v>0</v>
      </c>
      <c r="J25" s="177">
        <f t="shared" si="1"/>
        <v>0</v>
      </c>
      <c r="K25" s="177">
        <f t="shared" si="1"/>
        <v>0</v>
      </c>
      <c r="L25" s="177">
        <f t="shared" si="1"/>
        <v>0</v>
      </c>
    </row>
    <row r="26" spans="1:14" x14ac:dyDescent="0.25">
      <c r="A26" s="33" t="s">
        <v>3091</v>
      </c>
      <c r="B26" s="177">
        <f>IF(AND(C7&gt;=90,C7&lt;=200),(MAX(C7,110)-130)/20,"out of range")</f>
        <v>1.5</v>
      </c>
      <c r="C26" s="177">
        <f t="shared" si="1"/>
        <v>0.42441899999999999</v>
      </c>
      <c r="D26" s="177">
        <f t="shared" si="1"/>
        <v>0.38245185000000004</v>
      </c>
      <c r="E26" s="177">
        <f t="shared" si="1"/>
        <v>0.42942930000000001</v>
      </c>
      <c r="F26" s="177">
        <f t="shared" si="1"/>
        <v>0.38327685</v>
      </c>
      <c r="G26" s="177">
        <f t="shared" si="1"/>
        <v>0.39428340000000006</v>
      </c>
      <c r="H26" s="177">
        <f t="shared" si="1"/>
        <v>0.37914029999999999</v>
      </c>
      <c r="I26" s="177">
        <f t="shared" si="1"/>
        <v>0.41720894999999997</v>
      </c>
      <c r="J26" s="177">
        <f t="shared" si="1"/>
        <v>0.36263265</v>
      </c>
      <c r="K26" s="177">
        <f t="shared" si="1"/>
        <v>0.44101245</v>
      </c>
      <c r="L26" s="177">
        <f t="shared" si="1"/>
        <v>0.41006339999999997</v>
      </c>
    </row>
    <row r="27" spans="1:14" x14ac:dyDescent="0.25">
      <c r="A27" s="33" t="s">
        <v>372</v>
      </c>
      <c r="B27" s="177">
        <f>IF(OR(C8=0,C8=1),C8,"out of range")</f>
        <v>1</v>
      </c>
      <c r="C27" s="177">
        <f t="shared" si="1"/>
        <v>0.40040690000000001</v>
      </c>
      <c r="D27" s="177">
        <f t="shared" si="1"/>
        <v>0.33383499999999999</v>
      </c>
      <c r="E27" s="177">
        <f t="shared" si="1"/>
        <v>0.36691360000000001</v>
      </c>
      <c r="F27" s="177">
        <f t="shared" si="1"/>
        <v>0.26969979999999999</v>
      </c>
      <c r="G27" s="177">
        <f t="shared" si="1"/>
        <v>0.5113472</v>
      </c>
      <c r="H27" s="177">
        <f t="shared" si="1"/>
        <v>0.43853839999999999</v>
      </c>
      <c r="I27" s="177">
        <f t="shared" si="1"/>
        <v>0.39397979999999999</v>
      </c>
      <c r="J27" s="177">
        <f t="shared" si="1"/>
        <v>0.35999710000000001</v>
      </c>
      <c r="K27" s="177">
        <f t="shared" si="1"/>
        <v>0.32303599999999999</v>
      </c>
      <c r="L27" s="177">
        <f t="shared" si="1"/>
        <v>0.12877810000000001</v>
      </c>
    </row>
    <row r="28" spans="1:14" x14ac:dyDescent="0.25">
      <c r="A28" s="33" t="s">
        <v>3126</v>
      </c>
      <c r="B28" s="177">
        <f>IF(OR(C9=0,C9=1),C9,"out of range")</f>
        <v>0</v>
      </c>
      <c r="C28" s="177">
        <f t="shared" si="1"/>
        <v>0</v>
      </c>
      <c r="D28" s="177">
        <f t="shared" si="1"/>
        <v>0</v>
      </c>
      <c r="E28" s="177">
        <f t="shared" si="1"/>
        <v>0</v>
      </c>
      <c r="F28" s="177">
        <f t="shared" si="1"/>
        <v>0</v>
      </c>
      <c r="G28" s="177">
        <f t="shared" si="1"/>
        <v>0</v>
      </c>
      <c r="H28" s="177">
        <f t="shared" si="1"/>
        <v>0</v>
      </c>
      <c r="I28" s="177">
        <f t="shared" si="1"/>
        <v>0</v>
      </c>
      <c r="J28" s="177">
        <f t="shared" si="1"/>
        <v>0</v>
      </c>
      <c r="K28" s="177">
        <f t="shared" si="1"/>
        <v>0</v>
      </c>
      <c r="L28" s="177">
        <f t="shared" si="1"/>
        <v>0</v>
      </c>
    </row>
    <row r="29" spans="1:14" x14ac:dyDescent="0.25">
      <c r="A29" s="33" t="s">
        <v>3092</v>
      </c>
      <c r="B29" s="177">
        <f>IF(AND(C10&gt;=18.5,C10&lt;40),(MIN(C10,30)-25)/5,"out of range")</f>
        <v>1</v>
      </c>
      <c r="C29" s="177">
        <f t="shared" si="1"/>
        <v>0</v>
      </c>
      <c r="D29" s="177">
        <f t="shared" si="1"/>
        <v>0</v>
      </c>
      <c r="E29" s="177">
        <f t="shared" si="1"/>
        <v>0</v>
      </c>
      <c r="F29" s="177">
        <f t="shared" si="1"/>
        <v>0</v>
      </c>
      <c r="G29" s="177">
        <f t="shared" si="1"/>
        <v>5.6465599999999998E-2</v>
      </c>
      <c r="H29" s="177">
        <f t="shared" si="1"/>
        <v>6.40931E-2</v>
      </c>
      <c r="I29" s="177">
        <f t="shared" si="1"/>
        <v>0</v>
      </c>
      <c r="J29" s="177">
        <f t="shared" si="1"/>
        <v>0</v>
      </c>
      <c r="K29" s="177">
        <f t="shared" si="1"/>
        <v>0</v>
      </c>
      <c r="L29" s="177">
        <f t="shared" si="1"/>
        <v>0</v>
      </c>
    </row>
    <row r="30" spans="1:14" x14ac:dyDescent="0.25">
      <c r="A30" s="33" t="s">
        <v>3093</v>
      </c>
      <c r="B30" s="177">
        <f>IF(AND(C10&gt;=18.5,C10&lt;40),(MAX(C10,30)-30)/5,"out of range")</f>
        <v>1</v>
      </c>
      <c r="C30" s="177">
        <f t="shared" si="1"/>
        <v>0</v>
      </c>
      <c r="D30" s="177">
        <f t="shared" si="1"/>
        <v>0</v>
      </c>
      <c r="E30" s="177">
        <f t="shared" si="1"/>
        <v>0</v>
      </c>
      <c r="F30" s="177">
        <f t="shared" si="1"/>
        <v>0</v>
      </c>
      <c r="G30" s="177">
        <f t="shared" si="1"/>
        <v>0.2363857</v>
      </c>
      <c r="H30" s="177">
        <f t="shared" si="1"/>
        <v>0.26430809999999999</v>
      </c>
      <c r="I30" s="177">
        <f t="shared" si="1"/>
        <v>0</v>
      </c>
      <c r="J30" s="177">
        <f t="shared" si="1"/>
        <v>0</v>
      </c>
      <c r="K30" s="177">
        <f t="shared" si="1"/>
        <v>0</v>
      </c>
      <c r="L30" s="177">
        <f t="shared" si="1"/>
        <v>0</v>
      </c>
    </row>
    <row r="31" spans="1:14" x14ac:dyDescent="0.25">
      <c r="A31" s="33" t="s">
        <v>3094</v>
      </c>
      <c r="B31" s="177">
        <f>IF(AND(C11&gt;=15,C11&lt;=150),(MIN(C11,60)-60)/-15,"out of range")</f>
        <v>0</v>
      </c>
      <c r="C31" s="177">
        <f t="shared" si="1"/>
        <v>0</v>
      </c>
      <c r="D31" s="177">
        <f t="shared" si="1"/>
        <v>0</v>
      </c>
      <c r="E31" s="177">
        <f t="shared" si="1"/>
        <v>0</v>
      </c>
      <c r="F31" s="177">
        <f t="shared" si="1"/>
        <v>0</v>
      </c>
      <c r="G31" s="177">
        <f t="shared" si="1"/>
        <v>0</v>
      </c>
      <c r="H31" s="177">
        <f t="shared" si="1"/>
        <v>0</v>
      </c>
      <c r="I31" s="177">
        <f t="shared" si="1"/>
        <v>0</v>
      </c>
      <c r="J31" s="177">
        <f t="shared" si="1"/>
        <v>0</v>
      </c>
      <c r="K31" s="177">
        <f t="shared" si="1"/>
        <v>0</v>
      </c>
      <c r="L31" s="177">
        <f t="shared" si="1"/>
        <v>0</v>
      </c>
    </row>
    <row r="32" spans="1:14" x14ac:dyDescent="0.25">
      <c r="A32" s="33" t="s">
        <v>3095</v>
      </c>
      <c r="B32" s="177">
        <f>IF(AND(C11&gt;=15,C11&lt;=150),(MAX(C11,60)-90)/-15,"out of range")</f>
        <v>0</v>
      </c>
      <c r="C32" s="177">
        <f t="shared" si="1"/>
        <v>0</v>
      </c>
      <c r="D32" s="177">
        <f t="shared" si="1"/>
        <v>0</v>
      </c>
      <c r="E32" s="177">
        <f t="shared" si="1"/>
        <v>0</v>
      </c>
      <c r="F32" s="177">
        <f t="shared" si="1"/>
        <v>0</v>
      </c>
      <c r="G32" s="177">
        <f t="shared" si="1"/>
        <v>0</v>
      </c>
      <c r="H32" s="177">
        <f t="shared" si="1"/>
        <v>0</v>
      </c>
      <c r="I32" s="177">
        <f t="shared" si="1"/>
        <v>0</v>
      </c>
      <c r="J32" s="177">
        <f t="shared" si="1"/>
        <v>0</v>
      </c>
      <c r="K32" s="177">
        <f t="shared" si="1"/>
        <v>0</v>
      </c>
      <c r="L32" s="177">
        <f t="shared" si="1"/>
        <v>0</v>
      </c>
    </row>
    <row r="33" spans="1:12" x14ac:dyDescent="0.25">
      <c r="A33" s="33" t="s">
        <v>3127</v>
      </c>
      <c r="B33" s="177">
        <f>IF(OR(C12=0,C12=1),C12,"out of range")</f>
        <v>1</v>
      </c>
      <c r="C33" s="177">
        <f t="shared" si="1"/>
        <v>0.28724159999999999</v>
      </c>
      <c r="D33" s="177">
        <f t="shared" si="1"/>
        <v>0.19797290000000001</v>
      </c>
      <c r="E33" s="177">
        <f t="shared" si="1"/>
        <v>0.18400849999999999</v>
      </c>
      <c r="F33" s="177">
        <f t="shared" si="1"/>
        <v>0.1120322</v>
      </c>
      <c r="G33" s="177">
        <f t="shared" si="1"/>
        <v>0.32193860000000002</v>
      </c>
      <c r="H33" s="177">
        <f t="shared" si="1"/>
        <v>0.220666</v>
      </c>
      <c r="I33" s="177">
        <f t="shared" si="1"/>
        <v>0.1634427</v>
      </c>
      <c r="J33" s="177">
        <f t="shared" si="1"/>
        <v>5.3914299999999998E-2</v>
      </c>
      <c r="K33" s="177">
        <f t="shared" si="1"/>
        <v>0.1935897</v>
      </c>
      <c r="L33" s="177">
        <f t="shared" si="1"/>
        <v>0.18337990000000001</v>
      </c>
    </row>
    <row r="34" spans="1:12" x14ac:dyDescent="0.25">
      <c r="A34" s="33" t="s">
        <v>3128</v>
      </c>
      <c r="B34" s="177">
        <f>IF(OR(C13=0,C13=1),C13,"out of range")</f>
        <v>0</v>
      </c>
      <c r="C34" s="177">
        <f t="shared" si="1"/>
        <v>0</v>
      </c>
      <c r="D34" s="177">
        <f t="shared" si="1"/>
        <v>0</v>
      </c>
      <c r="E34" s="177">
        <f t="shared" si="1"/>
        <v>0</v>
      </c>
      <c r="F34" s="177">
        <f t="shared" si="1"/>
        <v>0</v>
      </c>
      <c r="G34" s="177">
        <f t="shared" si="1"/>
        <v>0</v>
      </c>
      <c r="H34" s="177">
        <f t="shared" si="1"/>
        <v>0</v>
      </c>
      <c r="I34" s="177">
        <f t="shared" si="1"/>
        <v>0</v>
      </c>
      <c r="J34" s="177">
        <f t="shared" si="1"/>
        <v>0</v>
      </c>
      <c r="K34" s="177">
        <f t="shared" si="1"/>
        <v>0</v>
      </c>
      <c r="L34" s="177">
        <f t="shared" si="1"/>
        <v>0</v>
      </c>
    </row>
    <row r="35" spans="1:12" x14ac:dyDescent="0.25">
      <c r="A35" s="33" t="s">
        <v>3129</v>
      </c>
      <c r="B35" s="177">
        <f>B26*B33</f>
        <v>1.5</v>
      </c>
      <c r="C35" s="177">
        <f t="shared" si="1"/>
        <v>-8.3592299999999994E-2</v>
      </c>
      <c r="D35" s="177">
        <f t="shared" si="1"/>
        <v>-5.4828299999999996E-2</v>
      </c>
      <c r="E35" s="177">
        <f t="shared" si="1"/>
        <v>-4.9791750000000003E-2</v>
      </c>
      <c r="F35" s="177">
        <f t="shared" si="1"/>
        <v>-3.8417400000000004E-2</v>
      </c>
      <c r="G35" s="177">
        <f t="shared" si="1"/>
        <v>-0.13204815</v>
      </c>
      <c r="H35" s="177">
        <f t="shared" si="1"/>
        <v>-6.551535E-2</v>
      </c>
      <c r="I35" s="177">
        <f t="shared" si="1"/>
        <v>-0.12544530000000001</v>
      </c>
      <c r="J35" s="177">
        <f t="shared" si="1"/>
        <v>-9.0527399999999994E-2</v>
      </c>
      <c r="K35" s="177">
        <f t="shared" si="1"/>
        <v>-8.5161000000000004E-3</v>
      </c>
      <c r="L35" s="177">
        <f t="shared" si="1"/>
        <v>2.7193349999999998E-2</v>
      </c>
    </row>
    <row r="36" spans="1:12" x14ac:dyDescent="0.25">
      <c r="A36" s="33" t="s">
        <v>3130</v>
      </c>
      <c r="B36" s="177">
        <f>B23*B34</f>
        <v>0</v>
      </c>
      <c r="C36" s="177">
        <f t="shared" si="1"/>
        <v>0</v>
      </c>
      <c r="D36" s="177">
        <f t="shared" si="1"/>
        <v>0</v>
      </c>
      <c r="E36" s="177">
        <f t="shared" si="1"/>
        <v>0</v>
      </c>
      <c r="F36" s="177">
        <f t="shared" si="1"/>
        <v>0</v>
      </c>
      <c r="G36" s="177">
        <f t="shared" si="1"/>
        <v>0</v>
      </c>
      <c r="H36" s="177">
        <f t="shared" si="1"/>
        <v>0</v>
      </c>
      <c r="I36" s="177">
        <f t="shared" si="1"/>
        <v>0</v>
      </c>
      <c r="J36" s="177">
        <f t="shared" si="1"/>
        <v>0</v>
      </c>
      <c r="K36" s="177">
        <f t="shared" si="1"/>
        <v>0</v>
      </c>
      <c r="L36" s="177">
        <f t="shared" si="1"/>
        <v>0</v>
      </c>
    </row>
    <row r="37" spans="1:12" x14ac:dyDescent="0.25">
      <c r="A37" s="33" t="s">
        <v>3131</v>
      </c>
      <c r="B37" s="177">
        <f>B21*B23</f>
        <v>-0.2541500000000001</v>
      </c>
      <c r="C37" s="177">
        <f t="shared" ref="C37:L45" si="2">$B37*C72</f>
        <v>1.7260114365000009E-2</v>
      </c>
      <c r="D37" s="177">
        <f t="shared" si="2"/>
        <v>1.1216503610000005E-2</v>
      </c>
      <c r="E37" s="177">
        <f t="shared" si="2"/>
        <v>1.2525172790000006E-2</v>
      </c>
      <c r="F37" s="177">
        <f t="shared" si="2"/>
        <v>6.4682954050000021E-3</v>
      </c>
      <c r="G37" s="177">
        <f t="shared" si="2"/>
        <v>0</v>
      </c>
      <c r="H37" s="177">
        <f t="shared" si="2"/>
        <v>0</v>
      </c>
      <c r="I37" s="177">
        <f t="shared" si="2"/>
        <v>1.4909048960000006E-2</v>
      </c>
      <c r="J37" s="177">
        <f t="shared" si="2"/>
        <v>1.3152542065000005E-2</v>
      </c>
      <c r="K37" s="177">
        <f t="shared" si="2"/>
        <v>8.7394814650000024E-3</v>
      </c>
      <c r="L37" s="177">
        <f t="shared" si="2"/>
        <v>-6.8067977900000028E-3</v>
      </c>
    </row>
    <row r="38" spans="1:12" x14ac:dyDescent="0.25">
      <c r="A38" s="33" t="s">
        <v>3132</v>
      </c>
      <c r="B38" s="177">
        <f>B21*B24</f>
        <v>0.22716666666666682</v>
      </c>
      <c r="C38" s="177">
        <f t="shared" si="2"/>
        <v>6.6050980000000046E-3</v>
      </c>
      <c r="D38" s="177">
        <f t="shared" si="2"/>
        <v>4.0404999166666691E-3</v>
      </c>
      <c r="E38" s="177">
        <f t="shared" si="2"/>
        <v>6.5625724000000045E-3</v>
      </c>
      <c r="F38" s="177">
        <f t="shared" si="2"/>
        <v>5.5573826166666705E-3</v>
      </c>
      <c r="G38" s="177">
        <f t="shared" si="2"/>
        <v>0</v>
      </c>
      <c r="H38" s="177">
        <f t="shared" si="2"/>
        <v>0</v>
      </c>
      <c r="I38" s="177">
        <f t="shared" si="2"/>
        <v>1.0655116200000007E-2</v>
      </c>
      <c r="J38" s="177">
        <f t="shared" si="2"/>
        <v>1.1516532200000009E-2</v>
      </c>
      <c r="K38" s="177">
        <f t="shared" si="2"/>
        <v>3.0756095000000023E-3</v>
      </c>
      <c r="L38" s="177">
        <f t="shared" si="2"/>
        <v>-2.6392450500000017E-3</v>
      </c>
    </row>
    <row r="39" spans="1:12" x14ac:dyDescent="0.25">
      <c r="A39" s="33" t="s">
        <v>3096</v>
      </c>
      <c r="B39" s="177">
        <f>B21*B26</f>
        <v>-0.75</v>
      </c>
      <c r="C39" s="177">
        <f t="shared" si="2"/>
        <v>6.8081624999999993E-2</v>
      </c>
      <c r="D39" s="177">
        <f t="shared" si="2"/>
        <v>7.8499275000000007E-2</v>
      </c>
      <c r="E39" s="177">
        <f t="shared" si="2"/>
        <v>7.2353174999999992E-2</v>
      </c>
      <c r="F39" s="177">
        <f t="shared" si="2"/>
        <v>6.5185949999999993E-2</v>
      </c>
      <c r="G39" s="177">
        <f t="shared" si="2"/>
        <v>6.4734900000000012E-2</v>
      </c>
      <c r="H39" s="177">
        <f t="shared" si="2"/>
        <v>8.7628200000000003E-2</v>
      </c>
      <c r="I39" s="177">
        <f t="shared" si="2"/>
        <v>5.8328175000000003E-2</v>
      </c>
      <c r="J39" s="177">
        <f t="shared" si="2"/>
        <v>5.6622374999999996E-2</v>
      </c>
      <c r="K39" s="177">
        <f t="shared" si="2"/>
        <v>8.2724025000000007E-2</v>
      </c>
      <c r="L39" s="177">
        <f t="shared" si="2"/>
        <v>7.97847E-2</v>
      </c>
    </row>
    <row r="40" spans="1:12" x14ac:dyDescent="0.25">
      <c r="A40" s="33" t="s">
        <v>3133</v>
      </c>
      <c r="B40" s="177">
        <f>B21*B27</f>
        <v>-0.5</v>
      </c>
      <c r="C40" s="177">
        <f t="shared" si="2"/>
        <v>0.1351059</v>
      </c>
      <c r="D40" s="177">
        <f t="shared" si="2"/>
        <v>0.10580565</v>
      </c>
      <c r="E40" s="177">
        <f t="shared" si="2"/>
        <v>0.1139824</v>
      </c>
      <c r="F40" s="177">
        <f t="shared" si="2"/>
        <v>8.2872500000000002E-2</v>
      </c>
      <c r="G40" s="177">
        <f t="shared" si="2"/>
        <v>0.17126795</v>
      </c>
      <c r="H40" s="177">
        <f t="shared" si="2"/>
        <v>0.13650275000000001</v>
      </c>
      <c r="I40" s="177">
        <f t="shared" si="2"/>
        <v>0.11083545</v>
      </c>
      <c r="J40" s="177">
        <f t="shared" si="2"/>
        <v>8.867775E-2</v>
      </c>
      <c r="K40" s="177">
        <f t="shared" si="2"/>
        <v>0.1152953</v>
      </c>
      <c r="L40" s="177">
        <f t="shared" si="2"/>
        <v>7.5972150000000002E-2</v>
      </c>
    </row>
    <row r="41" spans="1:12" x14ac:dyDescent="0.25">
      <c r="A41" s="33" t="s">
        <v>3134</v>
      </c>
      <c r="B41" s="177">
        <f>B21*B28</f>
        <v>0</v>
      </c>
      <c r="C41" s="177">
        <f t="shared" si="2"/>
        <v>0</v>
      </c>
      <c r="D41" s="177">
        <f t="shared" si="2"/>
        <v>0</v>
      </c>
      <c r="E41" s="177">
        <f t="shared" si="2"/>
        <v>0</v>
      </c>
      <c r="F41" s="177">
        <f t="shared" si="2"/>
        <v>0</v>
      </c>
      <c r="G41" s="177">
        <f t="shared" si="2"/>
        <v>0</v>
      </c>
      <c r="H41" s="177">
        <f t="shared" si="2"/>
        <v>0</v>
      </c>
      <c r="I41" s="177">
        <f t="shared" si="2"/>
        <v>0</v>
      </c>
      <c r="J41" s="177">
        <f t="shared" si="2"/>
        <v>0</v>
      </c>
      <c r="K41" s="177">
        <f t="shared" si="2"/>
        <v>0</v>
      </c>
      <c r="L41" s="177">
        <f t="shared" si="2"/>
        <v>0</v>
      </c>
    </row>
    <row r="42" spans="1:12" x14ac:dyDescent="0.25">
      <c r="A42" s="33" t="s">
        <v>3135</v>
      </c>
      <c r="B42" s="177">
        <f>B21*B30</f>
        <v>-0.5</v>
      </c>
      <c r="C42" s="177">
        <f t="shared" si="2"/>
        <v>0</v>
      </c>
      <c r="D42" s="177">
        <f t="shared" si="2"/>
        <v>0</v>
      </c>
      <c r="E42" s="177">
        <f t="shared" si="2"/>
        <v>0</v>
      </c>
      <c r="F42" s="177">
        <f t="shared" si="2"/>
        <v>0</v>
      </c>
      <c r="G42" s="177">
        <f t="shared" si="2"/>
        <v>-1.5642500000000001E-3</v>
      </c>
      <c r="H42" s="177">
        <f t="shared" si="2"/>
        <v>8.7498999999999997E-3</v>
      </c>
      <c r="I42" s="177">
        <f t="shared" si="2"/>
        <v>0</v>
      </c>
      <c r="J42" s="177">
        <f t="shared" si="2"/>
        <v>0</v>
      </c>
      <c r="K42" s="177">
        <f t="shared" si="2"/>
        <v>0</v>
      </c>
      <c r="L42" s="177">
        <f t="shared" si="2"/>
        <v>0</v>
      </c>
    </row>
    <row r="43" spans="1:12" x14ac:dyDescent="0.25">
      <c r="A43" s="33" t="s">
        <v>3136</v>
      </c>
      <c r="B43" s="177">
        <f>B21*B31</f>
        <v>0</v>
      </c>
      <c r="C43" s="177">
        <f t="shared" si="2"/>
        <v>0</v>
      </c>
      <c r="D43" s="177">
        <f t="shared" si="2"/>
        <v>0</v>
      </c>
      <c r="E43" s="177">
        <f t="shared" si="2"/>
        <v>0</v>
      </c>
      <c r="F43" s="177">
        <f t="shared" si="2"/>
        <v>0</v>
      </c>
      <c r="G43" s="177">
        <f t="shared" si="2"/>
        <v>0</v>
      </c>
      <c r="H43" s="177">
        <f t="shared" si="2"/>
        <v>0</v>
      </c>
      <c r="I43" s="177">
        <f t="shared" si="2"/>
        <v>0</v>
      </c>
      <c r="J43" s="177">
        <f t="shared" si="2"/>
        <v>0</v>
      </c>
      <c r="K43" s="177">
        <f t="shared" si="2"/>
        <v>0</v>
      </c>
      <c r="L43" s="177">
        <f t="shared" si="2"/>
        <v>0</v>
      </c>
    </row>
    <row r="44" spans="1:12" x14ac:dyDescent="0.25">
      <c r="A44" s="33" t="s">
        <v>3105</v>
      </c>
      <c r="B44" s="177">
        <f>IF(OR(C16=1,C16=2,C16=3,C16=4,C16=5,C16=6,C16=7,C16=8,C16=9,C16=10),IF(AND(C16&gt;3,C16&lt;7),1,0),"out of range")</f>
        <v>0</v>
      </c>
      <c r="C44" s="177">
        <f t="shared" si="2"/>
        <v>0</v>
      </c>
      <c r="D44" s="177">
        <f t="shared" si="2"/>
        <v>0</v>
      </c>
      <c r="E44" s="177">
        <f t="shared" si="2"/>
        <v>0</v>
      </c>
      <c r="F44" s="177">
        <f t="shared" si="2"/>
        <v>0</v>
      </c>
      <c r="G44" s="177">
        <f t="shared" si="2"/>
        <v>0</v>
      </c>
      <c r="H44" s="177">
        <f t="shared" si="2"/>
        <v>0</v>
      </c>
      <c r="I44" s="177">
        <f t="shared" si="2"/>
        <v>0</v>
      </c>
      <c r="J44" s="177">
        <f t="shared" si="2"/>
        <v>0</v>
      </c>
      <c r="K44" s="177">
        <f t="shared" si="2"/>
        <v>0</v>
      </c>
      <c r="L44" s="177">
        <f t="shared" si="2"/>
        <v>0</v>
      </c>
    </row>
    <row r="45" spans="1:12" x14ac:dyDescent="0.25">
      <c r="A45" s="33" t="s">
        <v>3106</v>
      </c>
      <c r="B45" s="177">
        <f>IF(OR(C16=1,C16=2,C16=3,C16=4,C16=5,C16=6,C16=7,C16=8,C16=9,C16=10),IF(C16&gt;6,1,0),"out of range")</f>
        <v>1</v>
      </c>
      <c r="C45" s="177">
        <f t="shared" si="2"/>
        <v>0.1853138</v>
      </c>
      <c r="D45" s="177">
        <f t="shared" si="2"/>
        <v>0.18876370000000001</v>
      </c>
      <c r="E45" s="177">
        <f t="shared" si="2"/>
        <v>0.1840367</v>
      </c>
      <c r="F45" s="177">
        <f t="shared" si="2"/>
        <v>0.18642310000000001</v>
      </c>
      <c r="G45" s="177">
        <f t="shared" si="2"/>
        <v>0.18396999999999999</v>
      </c>
      <c r="H45" s="177">
        <f t="shared" si="2"/>
        <v>0.2446441</v>
      </c>
      <c r="I45" s="177">
        <f t="shared" si="2"/>
        <v>0.1837377</v>
      </c>
      <c r="J45" s="177">
        <f t="shared" si="2"/>
        <v>0.1468633</v>
      </c>
      <c r="K45" s="177">
        <f t="shared" si="2"/>
        <v>0.1614884</v>
      </c>
      <c r="L45" s="177">
        <f t="shared" si="2"/>
        <v>0.23609160000000001</v>
      </c>
    </row>
    <row r="46" spans="1:12" x14ac:dyDescent="0.25">
      <c r="A46" s="33" t="s">
        <v>3143</v>
      </c>
      <c r="B46" s="177">
        <f>IF(AND(C14&gt;=0.1,C14&lt;=25000),LN(C14),"out of range")</f>
        <v>3.6888794541139363</v>
      </c>
      <c r="C46" s="177">
        <f>$B46*C82</f>
        <v>0.37924078559936436</v>
      </c>
      <c r="D46" s="177">
        <f t="shared" ref="D46:L46" si="3">$B46*D82</f>
        <v>0.33000568041325107</v>
      </c>
      <c r="E46" s="177">
        <f t="shared" si="3"/>
        <v>0.2990718439748879</v>
      </c>
      <c r="F46" s="177">
        <f t="shared" si="3"/>
        <v>0.20664032926904577</v>
      </c>
      <c r="G46" s="177">
        <f t="shared" si="3"/>
        <v>0.46970723421999994</v>
      </c>
      <c r="H46" s="177">
        <f t="shared" si="3"/>
        <v>0.45501811623371829</v>
      </c>
      <c r="I46" s="177">
        <f t="shared" si="3"/>
        <v>0.30527543255287126</v>
      </c>
      <c r="J46" s="177">
        <f t="shared" si="3"/>
        <v>0.20232692252335036</v>
      </c>
      <c r="K46" s="177">
        <f t="shared" si="3"/>
        <v>0.26811107871650963</v>
      </c>
      <c r="L46" s="177">
        <f t="shared" si="3"/>
        <v>0.22116529211961938</v>
      </c>
    </row>
    <row r="47" spans="1:12" x14ac:dyDescent="0.25">
      <c r="A47" s="33" t="s">
        <v>3102</v>
      </c>
      <c r="B47" s="177">
        <f>IF(AND(C15&gt;=3,C15&lt;=15),(C15-5.3)*B27,"out of range")</f>
        <v>2.2000000000000002</v>
      </c>
      <c r="C47" s="177">
        <f t="shared" ref="C47:L48" si="4">$B47*C84</f>
        <v>0.20356270000000001</v>
      </c>
      <c r="D47" s="177">
        <f t="shared" si="4"/>
        <v>0.14876444000000003</v>
      </c>
      <c r="E47" s="177">
        <f t="shared" si="4"/>
        <v>0.17483598</v>
      </c>
      <c r="F47" s="177">
        <f t="shared" si="4"/>
        <v>0.11031284000000001</v>
      </c>
      <c r="G47" s="177">
        <f t="shared" si="4"/>
        <v>0.30323524000000002</v>
      </c>
      <c r="H47" s="177">
        <f t="shared" si="4"/>
        <v>0.21671364000000001</v>
      </c>
      <c r="I47" s="177">
        <f t="shared" si="4"/>
        <v>0.26402354</v>
      </c>
      <c r="J47" s="177">
        <f t="shared" si="4"/>
        <v>0.14440030000000001</v>
      </c>
      <c r="K47" s="177">
        <f t="shared" si="4"/>
        <v>9.9249480000000001E-2</v>
      </c>
      <c r="L47" s="177">
        <f t="shared" si="4"/>
        <v>7.7731060000000005E-2</v>
      </c>
    </row>
    <row r="48" spans="1:12" x14ac:dyDescent="0.25">
      <c r="A48" s="33" t="s">
        <v>3103</v>
      </c>
      <c r="B48" s="177">
        <f>IF(AND(C15&gt;=3,C15&lt;=15),(C15-5.3)*(1-B27),"out of range")</f>
        <v>0</v>
      </c>
      <c r="C48" s="177">
        <f t="shared" si="4"/>
        <v>0</v>
      </c>
      <c r="D48" s="177">
        <f t="shared" si="4"/>
        <v>0</v>
      </c>
      <c r="E48" s="177">
        <f t="shared" si="4"/>
        <v>0</v>
      </c>
      <c r="F48" s="177">
        <f t="shared" si="4"/>
        <v>0</v>
      </c>
      <c r="G48" s="177">
        <f t="shared" si="4"/>
        <v>0</v>
      </c>
      <c r="H48" s="177">
        <f t="shared" si="4"/>
        <v>0</v>
      </c>
      <c r="I48" s="177">
        <f t="shared" si="4"/>
        <v>0</v>
      </c>
      <c r="J48" s="177">
        <f t="shared" si="4"/>
        <v>0</v>
      </c>
      <c r="K48" s="177">
        <f t="shared" si="4"/>
        <v>0</v>
      </c>
      <c r="L48" s="177">
        <f t="shared" si="4"/>
        <v>0</v>
      </c>
    </row>
    <row r="49" spans="1:12" x14ac:dyDescent="0.25">
      <c r="A49" s="33" t="s">
        <v>2395</v>
      </c>
      <c r="B49" s="177">
        <v>1</v>
      </c>
      <c r="C49" s="177">
        <f>$B49*C87</f>
        <v>-1.748475</v>
      </c>
      <c r="D49" s="177">
        <f t="shared" ref="D49:L49" si="5">$B49*D87</f>
        <v>-1.5045580000000001</v>
      </c>
      <c r="E49" s="177">
        <f t="shared" si="5"/>
        <v>-2.314066</v>
      </c>
      <c r="F49" s="177">
        <f t="shared" si="5"/>
        <v>-1.985368</v>
      </c>
      <c r="G49" s="177">
        <f t="shared" si="5"/>
        <v>-2.6422080000000001</v>
      </c>
      <c r="H49" s="177">
        <f t="shared" si="5"/>
        <v>-2.4254389999999999</v>
      </c>
      <c r="I49" s="177">
        <f t="shared" si="5"/>
        <v>-3.099189</v>
      </c>
      <c r="J49" s="177">
        <f t="shared" si="5"/>
        <v>-2.6430829999999998</v>
      </c>
      <c r="K49" s="177">
        <f t="shared" si="5"/>
        <v>-2.8584489999999998</v>
      </c>
      <c r="L49" s="177">
        <f t="shared" si="5"/>
        <v>-2.7139519999999999</v>
      </c>
    </row>
    <row r="50" spans="1:12" ht="14.45" customHeight="1" x14ac:dyDescent="0.25">
      <c r="A50" s="65" t="s">
        <v>3098</v>
      </c>
      <c r="B50" s="240" t="s">
        <v>3097</v>
      </c>
      <c r="C50" s="177">
        <f>SUM(C21:C49)</f>
        <v>7.8661238154364543E-2</v>
      </c>
      <c r="D50" s="177">
        <f t="shared" ref="D50:L50" si="6">SUM(D21:D49)</f>
        <v>5.2112418536584659E-2</v>
      </c>
      <c r="E50" s="177">
        <f t="shared" si="6"/>
        <v>-0.64678795576177883</v>
      </c>
      <c r="F50" s="177">
        <f t="shared" si="6"/>
        <v>-0.67364434336928758</v>
      </c>
      <c r="G50" s="177">
        <f t="shared" si="6"/>
        <v>-0.38457877577999966</v>
      </c>
      <c r="H50" s="177">
        <f t="shared" si="6"/>
        <v>-0.27669139376628138</v>
      </c>
      <c r="I50" s="177">
        <f t="shared" si="6"/>
        <v>-1.3980285948037954</v>
      </c>
      <c r="J50" s="177">
        <f t="shared" si="6"/>
        <v>-1.2983059857016495</v>
      </c>
      <c r="K50" s="177">
        <f t="shared" si="6"/>
        <v>-1.3390017135684902</v>
      </c>
      <c r="L50" s="177">
        <f t="shared" si="6"/>
        <v>-1.4799207488203803</v>
      </c>
    </row>
    <row r="51" spans="1:12" x14ac:dyDescent="0.25">
      <c r="A51" s="183" t="s">
        <v>3099</v>
      </c>
      <c r="B51" s="240"/>
      <c r="C51" s="184">
        <f>EXP(C50)/(1+EXP(C50))</f>
        <v>0.51965517573557063</v>
      </c>
      <c r="D51" s="184">
        <f t="shared" ref="D51:L51" si="7">EXP(D50)/(1+EXP(D50))</f>
        <v>0.51302515706144824</v>
      </c>
      <c r="E51" s="184">
        <f t="shared" si="7"/>
        <v>0.3437137287596968</v>
      </c>
      <c r="F51" s="184">
        <f t="shared" si="7"/>
        <v>0.33768129226082216</v>
      </c>
      <c r="G51" s="184">
        <f t="shared" si="7"/>
        <v>0.40502302842081939</v>
      </c>
      <c r="H51" s="184">
        <f t="shared" si="7"/>
        <v>0.43126511090753861</v>
      </c>
      <c r="I51" s="184">
        <f t="shared" si="7"/>
        <v>0.19812913004512173</v>
      </c>
      <c r="J51" s="184">
        <f t="shared" si="7"/>
        <v>0.21445025483626029</v>
      </c>
      <c r="K51" s="184">
        <f t="shared" si="7"/>
        <v>0.20767427433359961</v>
      </c>
      <c r="L51" s="184">
        <f t="shared" si="7"/>
        <v>0.18543939001383239</v>
      </c>
    </row>
    <row r="52" spans="1:12" x14ac:dyDescent="0.25">
      <c r="A52" s="183"/>
      <c r="B52" s="182"/>
      <c r="C52" s="184"/>
      <c r="D52" s="184"/>
      <c r="E52" s="184"/>
      <c r="F52" s="184"/>
      <c r="G52" s="184"/>
      <c r="H52" s="184"/>
      <c r="I52" s="184"/>
      <c r="J52" s="184"/>
      <c r="K52" s="184"/>
      <c r="L52" s="184"/>
    </row>
    <row r="53" spans="1:12" x14ac:dyDescent="0.25">
      <c r="A53" s="185" t="s">
        <v>3137</v>
      </c>
      <c r="B53" s="182"/>
      <c r="C53" s="184"/>
      <c r="D53" s="184"/>
      <c r="E53" s="184"/>
      <c r="F53" s="184"/>
      <c r="G53" s="184"/>
      <c r="H53" s="184"/>
      <c r="I53" s="184"/>
      <c r="J53" s="184"/>
      <c r="K53" s="184"/>
      <c r="L53" s="184"/>
    </row>
    <row r="54" spans="1:12" x14ac:dyDescent="0.25">
      <c r="A54" s="236" t="s">
        <v>3138</v>
      </c>
      <c r="C54" s="192" t="s">
        <v>35</v>
      </c>
      <c r="D54" s="192"/>
      <c r="E54" s="192" t="s">
        <v>36</v>
      </c>
      <c r="F54" s="192"/>
      <c r="G54" s="192" t="s">
        <v>327</v>
      </c>
      <c r="H54" s="192"/>
      <c r="I54" s="192" t="s">
        <v>328</v>
      </c>
      <c r="J54" s="192"/>
      <c r="K54" s="192" t="s">
        <v>39</v>
      </c>
      <c r="L54" s="192"/>
    </row>
    <row r="55" spans="1:12" x14ac:dyDescent="0.25">
      <c r="A55" s="236"/>
      <c r="B55" s="65"/>
      <c r="C55" s="124" t="s">
        <v>330</v>
      </c>
      <c r="D55" s="124" t="s">
        <v>331</v>
      </c>
      <c r="E55" s="124" t="s">
        <v>330</v>
      </c>
      <c r="F55" s="124" t="s">
        <v>331</v>
      </c>
      <c r="G55" s="124" t="s">
        <v>330</v>
      </c>
      <c r="H55" s="124" t="s">
        <v>331</v>
      </c>
      <c r="I55" s="124" t="s">
        <v>330</v>
      </c>
      <c r="J55" s="124" t="s">
        <v>331</v>
      </c>
      <c r="K55" s="124" t="s">
        <v>330</v>
      </c>
      <c r="L55" s="124" t="s">
        <v>331</v>
      </c>
    </row>
    <row r="56" spans="1:12" x14ac:dyDescent="0.25">
      <c r="A56" s="65" t="s">
        <v>3081</v>
      </c>
      <c r="C56" s="44">
        <v>0.50737489999999996</v>
      </c>
      <c r="D56" s="44">
        <v>0.44275949999999997</v>
      </c>
      <c r="E56" s="44">
        <v>0.43867390000000001</v>
      </c>
      <c r="F56" s="44">
        <v>0.37435659999999998</v>
      </c>
      <c r="G56" s="44">
        <v>0.59275069999999996</v>
      </c>
      <c r="H56" s="44">
        <v>0.54788289999999995</v>
      </c>
      <c r="I56" s="44">
        <v>0.47488000000000002</v>
      </c>
      <c r="J56" s="44">
        <v>0.3858298</v>
      </c>
      <c r="K56" s="44">
        <v>0.42038910000000002</v>
      </c>
      <c r="L56" s="44">
        <v>0.37627509999999997</v>
      </c>
    </row>
    <row r="57" spans="1:12" x14ac:dyDescent="0.25">
      <c r="A57" s="19" t="s">
        <v>3080</v>
      </c>
      <c r="C57" s="44">
        <v>-9.8175100000000001E-2</v>
      </c>
      <c r="D57" s="44">
        <v>-0.1064108</v>
      </c>
      <c r="E57" s="44">
        <v>-9.2195600000000003E-2</v>
      </c>
      <c r="F57" s="44">
        <v>-9.9549899999999997E-2</v>
      </c>
      <c r="G57" s="44">
        <v>-0.10287540000000001</v>
      </c>
      <c r="H57" s="44">
        <v>-0.11119279999999999</v>
      </c>
      <c r="I57" s="44">
        <v>-9.5073299999999999E-2</v>
      </c>
      <c r="J57" s="44">
        <v>-9.9413100000000004E-2</v>
      </c>
      <c r="K57" s="44">
        <v>-9.0390499999999999E-2</v>
      </c>
      <c r="L57" s="44">
        <v>-9.7472199999999995E-2</v>
      </c>
    </row>
    <row r="58" spans="1:12" x14ac:dyDescent="0.25">
      <c r="A58" s="65" t="s">
        <v>332</v>
      </c>
      <c r="C58" s="44">
        <v>1.62303E-2</v>
      </c>
      <c r="D58" s="44">
        <v>6.2938099999999997E-2</v>
      </c>
      <c r="E58" s="44">
        <v>9.7772800000000007E-2</v>
      </c>
      <c r="F58" s="44">
        <v>0.1544808</v>
      </c>
      <c r="G58" s="44"/>
      <c r="H58" s="44"/>
      <c r="I58" s="44">
        <v>0.1472475</v>
      </c>
      <c r="J58" s="44">
        <v>0.24796370000000001</v>
      </c>
      <c r="K58" s="44">
        <v>3.8308500000000002E-2</v>
      </c>
      <c r="L58" s="44">
        <v>5.4149999999999997E-3</v>
      </c>
    </row>
    <row r="59" spans="1:12" x14ac:dyDescent="0.25">
      <c r="A59" s="65" t="s">
        <v>341</v>
      </c>
      <c r="C59" s="44">
        <v>-0.16171469999999999</v>
      </c>
      <c r="D59" s="44">
        <v>-0.1015427</v>
      </c>
      <c r="E59" s="44">
        <v>-0.1453525</v>
      </c>
      <c r="F59" s="44">
        <v>-0.1215297</v>
      </c>
      <c r="G59" s="44"/>
      <c r="H59" s="44"/>
      <c r="I59" s="44">
        <v>-0.1993519</v>
      </c>
      <c r="J59" s="44">
        <v>-0.1913328</v>
      </c>
      <c r="K59" s="44">
        <v>-9.89622E-2</v>
      </c>
      <c r="L59" s="44">
        <v>-2.8769400000000001E-2</v>
      </c>
    </row>
    <row r="60" spans="1:12" x14ac:dyDescent="0.25">
      <c r="A60" s="65" t="s">
        <v>350</v>
      </c>
      <c r="C60" s="44">
        <v>-0.1111241</v>
      </c>
      <c r="D60" s="44">
        <v>-0.25423259999999998</v>
      </c>
      <c r="E60" s="44">
        <v>5.9092499999999999E-2</v>
      </c>
      <c r="F60" s="44">
        <v>-0.1083968</v>
      </c>
      <c r="G60" s="44">
        <v>-0.35937809999999998</v>
      </c>
      <c r="H60" s="44">
        <v>-0.45473459999999999</v>
      </c>
      <c r="I60" s="44">
        <v>8.5683999999999996E-2</v>
      </c>
      <c r="J60" s="44">
        <v>-0.18370890000000001</v>
      </c>
      <c r="K60" s="44">
        <v>8.8015999999999997E-3</v>
      </c>
      <c r="L60" s="44">
        <v>-3.6423999999999998E-2</v>
      </c>
    </row>
    <row r="61" spans="1:12" x14ac:dyDescent="0.25">
      <c r="A61" s="65" t="s">
        <v>361</v>
      </c>
      <c r="C61" s="44">
        <v>0.28294599999999998</v>
      </c>
      <c r="D61" s="44">
        <v>0.25496790000000003</v>
      </c>
      <c r="E61" s="44">
        <v>0.28628619999999999</v>
      </c>
      <c r="F61" s="44">
        <v>0.25551790000000002</v>
      </c>
      <c r="G61" s="44">
        <v>0.26285560000000002</v>
      </c>
      <c r="H61" s="44">
        <v>0.25276019999999999</v>
      </c>
      <c r="I61" s="44">
        <v>0.27813929999999998</v>
      </c>
      <c r="J61" s="44">
        <v>0.2417551</v>
      </c>
      <c r="K61" s="44">
        <v>0.2940083</v>
      </c>
      <c r="L61" s="44">
        <v>0.2733756</v>
      </c>
    </row>
    <row r="62" spans="1:12" x14ac:dyDescent="0.25">
      <c r="A62" s="65" t="s">
        <v>372</v>
      </c>
      <c r="C62" s="44">
        <v>0.40040690000000001</v>
      </c>
      <c r="D62" s="44">
        <v>0.33383499999999999</v>
      </c>
      <c r="E62" s="44">
        <v>0.36691360000000001</v>
      </c>
      <c r="F62" s="44">
        <v>0.26969979999999999</v>
      </c>
      <c r="G62" s="44">
        <v>0.5113472</v>
      </c>
      <c r="H62" s="44">
        <v>0.43853839999999999</v>
      </c>
      <c r="I62" s="44">
        <v>0.39397979999999999</v>
      </c>
      <c r="J62" s="44">
        <v>0.35999710000000001</v>
      </c>
      <c r="K62" s="44">
        <v>0.32303599999999999</v>
      </c>
      <c r="L62" s="44">
        <v>0.12877810000000001</v>
      </c>
    </row>
    <row r="63" spans="1:12" ht="14.45" customHeight="1" x14ac:dyDescent="0.25">
      <c r="A63" s="65" t="s">
        <v>383</v>
      </c>
      <c r="C63" s="44">
        <v>0.29187010000000002</v>
      </c>
      <c r="D63" s="44">
        <v>0.1873833</v>
      </c>
      <c r="E63" s="44">
        <v>0.2354695</v>
      </c>
      <c r="F63" s="44">
        <v>0.16284319999999999</v>
      </c>
      <c r="G63" s="44">
        <v>0.34734399999999999</v>
      </c>
      <c r="H63" s="44">
        <v>0.23979519999999999</v>
      </c>
      <c r="I63" s="44">
        <v>0.28321550000000001</v>
      </c>
      <c r="J63" s="44">
        <v>0.15810479999999999</v>
      </c>
      <c r="K63" s="44">
        <v>0.19253020000000001</v>
      </c>
      <c r="L63" s="44">
        <v>0.1683627</v>
      </c>
    </row>
    <row r="64" spans="1:12" ht="14.45" customHeight="1" x14ac:dyDescent="0.25">
      <c r="A64" s="65" t="s">
        <v>393</v>
      </c>
      <c r="C64" s="44"/>
      <c r="D64" s="44"/>
      <c r="E64" s="44"/>
      <c r="F64" s="44"/>
      <c r="G64" s="44">
        <v>5.6465599999999998E-2</v>
      </c>
      <c r="H64" s="44">
        <v>6.40931E-2</v>
      </c>
      <c r="I64" s="44"/>
      <c r="J64" s="44"/>
      <c r="K64" s="44"/>
      <c r="L64" s="44"/>
    </row>
    <row r="65" spans="1:12" ht="14.45" customHeight="1" x14ac:dyDescent="0.25">
      <c r="A65" s="65" t="s">
        <v>396</v>
      </c>
      <c r="C65" s="44"/>
      <c r="D65" s="44"/>
      <c r="E65" s="44"/>
      <c r="F65" s="44"/>
      <c r="G65" s="44">
        <v>0.2363857</v>
      </c>
      <c r="H65" s="44">
        <v>0.26430809999999999</v>
      </c>
      <c r="I65" s="44"/>
      <c r="J65" s="44"/>
      <c r="K65" s="44"/>
      <c r="L65" s="44"/>
    </row>
    <row r="66" spans="1:12" ht="14.45" customHeight="1" x14ac:dyDescent="0.25">
      <c r="A66" s="65" t="s">
        <v>399</v>
      </c>
      <c r="C66" s="44">
        <v>0.1017102</v>
      </c>
      <c r="D66" s="44">
        <v>2.4610199999999999E-2</v>
      </c>
      <c r="E66" s="44">
        <v>3.5433800000000001E-2</v>
      </c>
      <c r="F66" s="44">
        <v>-7.7507000000000006E-2</v>
      </c>
      <c r="G66" s="44">
        <v>0.19712950000000001</v>
      </c>
      <c r="H66" s="44">
        <v>0.13545879999999999</v>
      </c>
      <c r="I66" s="44">
        <v>5.85928E-2</v>
      </c>
      <c r="J66" s="44">
        <v>-7.0795899999999995E-2</v>
      </c>
      <c r="K66" s="44">
        <v>2.06737E-2</v>
      </c>
      <c r="L66" s="44">
        <v>-3.8650200000000003E-2</v>
      </c>
    </row>
    <row r="67" spans="1:12" x14ac:dyDescent="0.25">
      <c r="A67" s="65" t="s">
        <v>410</v>
      </c>
      <c r="C67" s="44">
        <v>6.2264300000000002E-2</v>
      </c>
      <c r="D67" s="44">
        <v>5.5201399999999998E-2</v>
      </c>
      <c r="E67" s="44">
        <v>5.7309300000000001E-2</v>
      </c>
      <c r="F67" s="44">
        <v>5.8340700000000002E-2</v>
      </c>
      <c r="G67" s="44">
        <v>7.3522699999999996E-2</v>
      </c>
      <c r="H67" s="44">
        <v>5.7068899999999999E-2</v>
      </c>
      <c r="I67" s="44">
        <v>4.52655E-2</v>
      </c>
      <c r="J67" s="44">
        <v>5.4403E-2</v>
      </c>
      <c r="K67" s="44">
        <v>6.7263699999999996E-2</v>
      </c>
      <c r="L67" s="44">
        <v>5.9633600000000002E-2</v>
      </c>
    </row>
    <row r="68" spans="1:12" x14ac:dyDescent="0.25">
      <c r="A68" s="65" t="s">
        <v>420</v>
      </c>
      <c r="C68" s="44">
        <v>0.28724159999999999</v>
      </c>
      <c r="D68" s="44">
        <v>0.19797290000000001</v>
      </c>
      <c r="E68" s="44">
        <v>0.18400849999999999</v>
      </c>
      <c r="F68" s="44">
        <v>0.1120322</v>
      </c>
      <c r="G68" s="44">
        <v>0.32193860000000002</v>
      </c>
      <c r="H68" s="44">
        <v>0.220666</v>
      </c>
      <c r="I68" s="44">
        <v>0.1634427</v>
      </c>
      <c r="J68" s="44">
        <v>5.3914299999999998E-2</v>
      </c>
      <c r="K68" s="44">
        <v>0.1935897</v>
      </c>
      <c r="L68" s="44">
        <v>0.18337990000000001</v>
      </c>
    </row>
    <row r="69" spans="1:12" ht="14.45" customHeight="1" x14ac:dyDescent="0.25">
      <c r="A69" s="65" t="s">
        <v>431</v>
      </c>
      <c r="C69" s="44">
        <v>-7.6813500000000007E-2</v>
      </c>
      <c r="D69" s="44">
        <v>-4.0771399999999999E-2</v>
      </c>
      <c r="E69" s="44">
        <v>1.1750399999999999E-2</v>
      </c>
      <c r="F69" s="44">
        <v>-2.5062999999999999E-3</v>
      </c>
      <c r="G69" s="44"/>
      <c r="H69" s="44"/>
      <c r="I69" s="44">
        <v>2.4291500000000001E-2</v>
      </c>
      <c r="J69" s="44">
        <v>2.1463699999999999E-2</v>
      </c>
      <c r="K69" s="44">
        <v>-1.18966E-2</v>
      </c>
      <c r="L69" s="44">
        <v>-1.8884600000000001E-2</v>
      </c>
    </row>
    <row r="70" spans="1:12" ht="14.45" customHeight="1" x14ac:dyDescent="0.25">
      <c r="A70" s="65" t="s">
        <v>440</v>
      </c>
      <c r="C70" s="44">
        <v>-5.5728199999999999E-2</v>
      </c>
      <c r="D70" s="44">
        <v>-3.65522E-2</v>
      </c>
      <c r="E70" s="44">
        <v>-3.3194500000000002E-2</v>
      </c>
      <c r="F70" s="44">
        <v>-2.5611600000000002E-2</v>
      </c>
      <c r="G70" s="44">
        <v>-8.8032100000000002E-2</v>
      </c>
      <c r="H70" s="44">
        <v>-4.3676899999999998E-2</v>
      </c>
      <c r="I70" s="44">
        <v>-8.3630200000000002E-2</v>
      </c>
      <c r="J70" s="44">
        <v>-6.0351599999999998E-2</v>
      </c>
      <c r="K70" s="44">
        <v>-5.6774E-3</v>
      </c>
      <c r="L70" s="44">
        <v>1.81289E-2</v>
      </c>
    </row>
    <row r="71" spans="1:12" x14ac:dyDescent="0.25">
      <c r="A71" s="65" t="s">
        <v>451</v>
      </c>
      <c r="C71" s="44">
        <v>9.1758500000000007E-2</v>
      </c>
      <c r="D71" s="44">
        <v>0.12328219999999999</v>
      </c>
      <c r="E71" s="44">
        <v>6.6431100000000007E-2</v>
      </c>
      <c r="F71" s="44">
        <v>8.8674500000000003E-2</v>
      </c>
      <c r="G71" s="44"/>
      <c r="H71" s="44"/>
      <c r="I71" s="44">
        <v>7.1496599999999993E-2</v>
      </c>
      <c r="J71" s="44">
        <v>6.1635599999999999E-2</v>
      </c>
      <c r="K71" s="44">
        <v>5.9887200000000002E-2</v>
      </c>
      <c r="L71" s="44">
        <v>0.12582080000000001</v>
      </c>
    </row>
    <row r="72" spans="1:12" x14ac:dyDescent="0.25">
      <c r="A72" s="65" t="s">
        <v>460</v>
      </c>
      <c r="C72" s="44">
        <v>-6.7913100000000004E-2</v>
      </c>
      <c r="D72" s="44">
        <v>-4.4133400000000003E-2</v>
      </c>
      <c r="E72" s="44">
        <v>-4.9282600000000003E-2</v>
      </c>
      <c r="F72" s="44">
        <v>-2.54507E-2</v>
      </c>
      <c r="I72" s="44">
        <v>-5.8662400000000003E-2</v>
      </c>
      <c r="J72" s="44">
        <v>-5.1751100000000001E-2</v>
      </c>
      <c r="K72" s="44">
        <v>-3.4387099999999997E-2</v>
      </c>
      <c r="L72" s="44">
        <v>2.67826E-2</v>
      </c>
    </row>
    <row r="73" spans="1:12" x14ac:dyDescent="0.25">
      <c r="A73" s="65" t="s">
        <v>3079</v>
      </c>
      <c r="C73" s="44">
        <v>2.9076000000000001E-2</v>
      </c>
      <c r="D73" s="44">
        <v>1.77865E-2</v>
      </c>
      <c r="E73" s="44">
        <v>2.8888799999999999E-2</v>
      </c>
      <c r="F73" s="44">
        <v>2.44639E-2</v>
      </c>
      <c r="G73" s="44"/>
      <c r="H73" s="44"/>
      <c r="I73" s="44">
        <v>4.6904399999999999E-2</v>
      </c>
      <c r="J73" s="44">
        <v>5.0696400000000003E-2</v>
      </c>
      <c r="K73" s="44">
        <v>1.3539000000000001E-2</v>
      </c>
      <c r="L73" s="44">
        <v>-1.1618099999999999E-2</v>
      </c>
    </row>
    <row r="74" spans="1:12" x14ac:dyDescent="0.25">
      <c r="A74" s="65" t="s">
        <v>475</v>
      </c>
      <c r="C74" s="44">
        <v>-9.0775499999999995E-2</v>
      </c>
      <c r="D74" s="44">
        <v>-0.1046657</v>
      </c>
      <c r="E74" s="44">
        <v>-9.6470899999999998E-2</v>
      </c>
      <c r="F74" s="44">
        <v>-8.6914599999999995E-2</v>
      </c>
      <c r="G74" s="44">
        <v>-8.6313200000000007E-2</v>
      </c>
      <c r="H74" s="44">
        <v>-0.1168376</v>
      </c>
      <c r="I74" s="44">
        <v>-7.7770900000000004E-2</v>
      </c>
      <c r="J74" s="44">
        <v>-7.5496499999999994E-2</v>
      </c>
      <c r="K74" s="44">
        <v>-0.1102987</v>
      </c>
      <c r="L74" s="44">
        <v>-0.1063796</v>
      </c>
    </row>
    <row r="75" spans="1:12" x14ac:dyDescent="0.25">
      <c r="A75" s="65" t="s">
        <v>481</v>
      </c>
      <c r="C75" s="44">
        <v>-0.2702118</v>
      </c>
      <c r="D75" s="44">
        <v>-0.2116113</v>
      </c>
      <c r="E75" s="44">
        <v>-0.2279648</v>
      </c>
      <c r="F75" s="44">
        <v>-0.165745</v>
      </c>
      <c r="G75" s="44">
        <v>-0.3425359</v>
      </c>
      <c r="H75" s="44">
        <v>-0.27300550000000001</v>
      </c>
      <c r="I75" s="44">
        <v>-0.2216709</v>
      </c>
      <c r="J75" s="44">
        <v>-0.1773555</v>
      </c>
      <c r="K75" s="44">
        <v>-0.23059060000000001</v>
      </c>
      <c r="L75" s="44">
        <v>-0.1519443</v>
      </c>
    </row>
    <row r="76" spans="1:12" x14ac:dyDescent="0.25">
      <c r="A76" s="65" t="s">
        <v>492</v>
      </c>
      <c r="C76" s="44">
        <v>-0.13732159999999999</v>
      </c>
      <c r="D76" s="44">
        <v>-0.1277905</v>
      </c>
      <c r="E76" s="44">
        <v>-0.120405</v>
      </c>
      <c r="F76" s="44">
        <v>-0.1244714</v>
      </c>
      <c r="G76" s="44">
        <v>-0.18140500000000001</v>
      </c>
      <c r="H76" s="44">
        <v>-0.15736910000000001</v>
      </c>
      <c r="I76" s="44">
        <v>-0.1092446</v>
      </c>
      <c r="J76" s="44">
        <v>-0.13556260000000001</v>
      </c>
      <c r="K76" s="44">
        <v>-0.12985350000000001</v>
      </c>
      <c r="L76" s="44">
        <v>-0.10020270000000001</v>
      </c>
    </row>
    <row r="77" spans="1:12" x14ac:dyDescent="0.25">
      <c r="A77" s="65" t="s">
        <v>501</v>
      </c>
      <c r="E77" s="44"/>
      <c r="F77" s="44"/>
      <c r="G77" s="44">
        <v>3.1285000000000002E-3</v>
      </c>
      <c r="H77" s="44">
        <v>-1.7499799999999999E-2</v>
      </c>
      <c r="I77" s="44"/>
      <c r="J77" s="44"/>
      <c r="K77" s="44"/>
      <c r="L77" s="44"/>
    </row>
    <row r="78" spans="1:12" x14ac:dyDescent="0.25">
      <c r="A78" s="65" t="s">
        <v>504</v>
      </c>
      <c r="C78" s="44">
        <v>-0.12558639999999999</v>
      </c>
      <c r="D78" s="44">
        <v>-9.5592200000000002E-2</v>
      </c>
      <c r="E78" s="44">
        <v>-0.11576350000000001</v>
      </c>
      <c r="F78" s="44">
        <v>-6.2455200000000002E-2</v>
      </c>
      <c r="G78" s="44">
        <v>-0.13569890000000001</v>
      </c>
      <c r="H78" s="44">
        <v>-0.1128676</v>
      </c>
      <c r="I78" s="44">
        <v>-9.9213599999999999E-2</v>
      </c>
      <c r="J78" s="44">
        <v>-7.7710000000000001E-3</v>
      </c>
      <c r="K78" s="44">
        <v>-0.1172069</v>
      </c>
      <c r="L78" s="44">
        <v>-0.12142849999999999</v>
      </c>
    </row>
    <row r="79" spans="1:12" x14ac:dyDescent="0.25">
      <c r="A79" s="19" t="s">
        <v>798</v>
      </c>
      <c r="C79" s="44">
        <v>0.1067741</v>
      </c>
      <c r="D79" s="44">
        <v>2.5670399999999999E-2</v>
      </c>
      <c r="E79" s="44">
        <v>0.11076320000000001</v>
      </c>
      <c r="F79" s="44">
        <v>1.5675000000000001E-2</v>
      </c>
      <c r="G79" s="44">
        <v>8.4763400000000003E-2</v>
      </c>
      <c r="H79" s="44">
        <v>5.7745999999999999E-2</v>
      </c>
      <c r="I79" s="44">
        <v>0.13251479999999999</v>
      </c>
      <c r="J79" s="44">
        <v>2.1366199999999998E-2</v>
      </c>
      <c r="K79" s="44">
        <v>7.3416300000000004E-2</v>
      </c>
      <c r="L79" s="44">
        <v>3.2976199999999997E-2</v>
      </c>
    </row>
    <row r="80" spans="1:12" x14ac:dyDescent="0.25">
      <c r="A80" s="19" t="s">
        <v>808</v>
      </c>
      <c r="C80" s="44">
        <v>0.1853138</v>
      </c>
      <c r="D80" s="44">
        <v>0.18876370000000001</v>
      </c>
      <c r="E80" s="44">
        <v>0.1840367</v>
      </c>
      <c r="F80" s="44">
        <v>0.18642310000000001</v>
      </c>
      <c r="G80" s="44">
        <v>0.18396999999999999</v>
      </c>
      <c r="H80" s="44">
        <v>0.2446441</v>
      </c>
      <c r="I80" s="44">
        <v>0.1837377</v>
      </c>
      <c r="J80" s="44">
        <v>0.1468633</v>
      </c>
      <c r="K80" s="44">
        <v>0.1614884</v>
      </c>
      <c r="L80" s="44">
        <v>0.23609160000000001</v>
      </c>
    </row>
    <row r="81" spans="1:14" x14ac:dyDescent="0.25">
      <c r="A81" s="19" t="s">
        <v>819</v>
      </c>
      <c r="C81" s="44">
        <v>0.1567115</v>
      </c>
      <c r="D81" s="44">
        <v>8.9241000000000001E-2</v>
      </c>
      <c r="E81" s="44">
        <v>0.13089619999999999</v>
      </c>
      <c r="F81" s="44">
        <v>8.4569699999999998E-2</v>
      </c>
      <c r="G81" s="44">
        <v>0.1485802</v>
      </c>
      <c r="H81" s="44">
        <v>0.1076782</v>
      </c>
      <c r="I81" s="44">
        <v>0.1285162</v>
      </c>
      <c r="J81" s="44">
        <v>3.6963700000000002E-2</v>
      </c>
      <c r="K81" s="44">
        <v>0.10961460000000001</v>
      </c>
      <c r="L81" s="44">
        <v>0.1347158</v>
      </c>
    </row>
    <row r="82" spans="1:14" x14ac:dyDescent="0.25">
      <c r="A82" s="19" t="s">
        <v>511</v>
      </c>
      <c r="C82" s="44">
        <v>0.1028065</v>
      </c>
      <c r="D82" s="44">
        <v>8.94596E-2</v>
      </c>
      <c r="E82" s="44">
        <v>8.1073900000000004E-2</v>
      </c>
      <c r="F82" s="44">
        <v>5.60171E-2</v>
      </c>
      <c r="G82" s="44">
        <v>0.12733059999999999</v>
      </c>
      <c r="H82" s="44">
        <v>0.1233486</v>
      </c>
      <c r="I82" s="44">
        <v>8.2755599999999999E-2</v>
      </c>
      <c r="J82" s="44">
        <v>5.4847800000000002E-2</v>
      </c>
      <c r="K82" s="44">
        <v>7.2680900000000007E-2</v>
      </c>
      <c r="L82" s="44">
        <v>5.9954599999999997E-2</v>
      </c>
    </row>
    <row r="83" spans="1:14" x14ac:dyDescent="0.25">
      <c r="A83" s="19" t="s">
        <v>522</v>
      </c>
      <c r="C83" s="44">
        <v>-6.1810000000000001E-4</v>
      </c>
      <c r="D83" s="44">
        <v>7.1012400000000003E-2</v>
      </c>
      <c r="E83" s="44">
        <v>-1.47785E-2</v>
      </c>
      <c r="F83" s="44">
        <v>2.5224400000000001E-2</v>
      </c>
      <c r="G83" s="44">
        <v>1.6700799999999998E-2</v>
      </c>
      <c r="H83" s="44">
        <v>0.1274796</v>
      </c>
      <c r="I83" s="44">
        <v>1.16095E-2</v>
      </c>
      <c r="J83" s="44">
        <v>3.62993E-2</v>
      </c>
      <c r="K83" s="44">
        <v>-4.6342599999999998E-2</v>
      </c>
      <c r="L83" s="44">
        <v>1.24922E-2</v>
      </c>
    </row>
    <row r="84" spans="1:14" x14ac:dyDescent="0.25">
      <c r="A84" s="19" t="s">
        <v>649</v>
      </c>
      <c r="C84" s="44">
        <v>9.25285E-2</v>
      </c>
      <c r="D84" s="44">
        <v>6.7620200000000005E-2</v>
      </c>
      <c r="E84" s="44">
        <v>7.9470899999999997E-2</v>
      </c>
      <c r="F84" s="44">
        <v>5.0142199999999998E-2</v>
      </c>
      <c r="G84" s="44">
        <v>0.13783419999999999</v>
      </c>
      <c r="H84" s="44">
        <v>9.8506200000000002E-2</v>
      </c>
      <c r="I84" s="44">
        <v>0.1200107</v>
      </c>
      <c r="J84" s="44">
        <v>6.56365E-2</v>
      </c>
      <c r="K84" s="44">
        <v>4.5113399999999998E-2</v>
      </c>
      <c r="L84" s="44">
        <v>3.5332299999999997E-2</v>
      </c>
    </row>
    <row r="85" spans="1:14" x14ac:dyDescent="0.25">
      <c r="A85" s="19" t="s">
        <v>659</v>
      </c>
      <c r="C85" s="44">
        <v>9.7559800000000002E-2</v>
      </c>
      <c r="D85" s="44">
        <v>6.3408999999999993E-2</v>
      </c>
      <c r="E85" s="44">
        <v>0.1002615</v>
      </c>
      <c r="F85" s="44">
        <v>7.2290499999999994E-2</v>
      </c>
      <c r="G85" s="44">
        <v>0.1138832</v>
      </c>
      <c r="H85" s="44">
        <v>8.0484399999999998E-2</v>
      </c>
      <c r="I85" s="44">
        <v>0.11624230000000001</v>
      </c>
      <c r="J85" s="44">
        <v>6.2150799999999999E-2</v>
      </c>
      <c r="K85" s="44">
        <v>9.2487200000000006E-2</v>
      </c>
      <c r="L85" s="44">
        <v>8.0409499999999995E-2</v>
      </c>
    </row>
    <row r="86" spans="1:14" x14ac:dyDescent="0.25">
      <c r="A86" s="19" t="s">
        <v>670</v>
      </c>
      <c r="C86" s="44">
        <v>1.0171299999999999E-2</v>
      </c>
      <c r="D86" s="44">
        <v>3.8782999999999999E-3</v>
      </c>
      <c r="E86" s="44">
        <v>1.7301E-2</v>
      </c>
      <c r="F86" s="44">
        <v>1.14945E-2</v>
      </c>
      <c r="G86" s="44">
        <v>1.3897899999999999E-2</v>
      </c>
      <c r="H86" s="44">
        <v>2.2805999999999998E-3</v>
      </c>
      <c r="I86" s="44">
        <v>3.7834300000000001E-2</v>
      </c>
      <c r="J86" s="44">
        <v>4.5715600000000002E-2</v>
      </c>
      <c r="K86" s="44">
        <v>-6.8354000000000002E-3</v>
      </c>
      <c r="L86" s="44">
        <v>-4.1001500000000003E-2</v>
      </c>
    </row>
    <row r="87" spans="1:14" x14ac:dyDescent="0.25">
      <c r="A87" s="65" t="s">
        <v>2395</v>
      </c>
      <c r="C87" s="44">
        <v>-1.748475</v>
      </c>
      <c r="D87" s="44">
        <v>-1.5045580000000001</v>
      </c>
      <c r="E87" s="44">
        <v>-2.314066</v>
      </c>
      <c r="F87" s="44">
        <v>-1.985368</v>
      </c>
      <c r="G87" s="44">
        <v>-2.6422080000000001</v>
      </c>
      <c r="H87" s="44">
        <v>-2.4254389999999999</v>
      </c>
      <c r="I87" s="44">
        <v>-3.099189</v>
      </c>
      <c r="J87" s="44">
        <v>-2.6430829999999998</v>
      </c>
      <c r="K87" s="44">
        <v>-2.8584489999999998</v>
      </c>
      <c r="L87" s="44">
        <v>-2.7139519999999999</v>
      </c>
    </row>
    <row r="88" spans="1:14" ht="73.5" customHeight="1" x14ac:dyDescent="0.25">
      <c r="A88" s="239" t="s">
        <v>3171</v>
      </c>
      <c r="B88" s="239"/>
      <c r="C88" s="239"/>
      <c r="D88" s="239"/>
      <c r="E88" s="239"/>
      <c r="F88" s="239"/>
      <c r="G88" s="239"/>
      <c r="H88" s="239"/>
      <c r="I88" s="239"/>
      <c r="J88" s="239"/>
      <c r="K88" s="239"/>
      <c r="L88" s="239"/>
      <c r="M88" s="186"/>
      <c r="N88" s="186"/>
    </row>
    <row r="89" spans="1:14" x14ac:dyDescent="0.25">
      <c r="A89" s="33" t="s">
        <v>3140</v>
      </c>
      <c r="B89" s="65"/>
      <c r="C89" s="44">
        <v>0.98980000000000001</v>
      </c>
      <c r="D89" s="118">
        <v>0.97109999999999996</v>
      </c>
      <c r="E89" s="44">
        <v>0.99019999999999997</v>
      </c>
      <c r="F89" s="44">
        <v>0.96840000000000004</v>
      </c>
      <c r="G89" s="44">
        <v>0.99209999999999998</v>
      </c>
      <c r="H89" s="44">
        <v>0.98340000000000005</v>
      </c>
      <c r="I89" s="44">
        <v>0.99170000000000003</v>
      </c>
      <c r="J89" s="44">
        <v>0.97289999999999999</v>
      </c>
      <c r="K89" s="44">
        <v>0.98960000000000004</v>
      </c>
      <c r="L89" s="118">
        <v>0.97</v>
      </c>
    </row>
    <row r="90" spans="1:14" x14ac:dyDescent="0.25">
      <c r="E90" s="44"/>
      <c r="F90" s="118"/>
      <c r="G90" s="44"/>
      <c r="H90" s="44"/>
      <c r="I90" s="44"/>
      <c r="J90" s="44"/>
      <c r="K90" s="44"/>
      <c r="L90" s="44"/>
      <c r="M90" s="44"/>
      <c r="N90" s="44"/>
    </row>
    <row r="91" spans="1:14" x14ac:dyDescent="0.25">
      <c r="A91" s="65" t="s">
        <v>3169</v>
      </c>
      <c r="B91" s="65"/>
      <c r="C91" s="65"/>
      <c r="D91" s="65"/>
      <c r="E91" s="44"/>
      <c r="F91" s="118"/>
      <c r="G91" s="44"/>
      <c r="H91" s="44"/>
      <c r="I91" s="44"/>
      <c r="J91" s="44"/>
      <c r="K91" s="44"/>
      <c r="L91" s="44"/>
      <c r="M91" s="44"/>
      <c r="N91" s="44"/>
    </row>
    <row r="92" spans="1:14" x14ac:dyDescent="0.25">
      <c r="A92" s="65" t="s">
        <v>2397</v>
      </c>
      <c r="B92" s="65"/>
      <c r="C92" s="44">
        <v>1.0969</v>
      </c>
      <c r="D92" s="44">
        <v>1.0717000000000001</v>
      </c>
      <c r="E92" s="44">
        <v>1.0921000000000001</v>
      </c>
      <c r="F92" s="118">
        <v>1.0896999999999999</v>
      </c>
      <c r="G92" s="44">
        <v>1.0567</v>
      </c>
      <c r="H92" s="44">
        <v>1.0662</v>
      </c>
      <c r="I92" s="44">
        <v>1.0653999999999999</v>
      </c>
      <c r="J92" s="118">
        <v>1.1200000000000001</v>
      </c>
      <c r="K92" s="118">
        <v>1.0794999999999999</v>
      </c>
      <c r="L92" s="118">
        <v>1.0744</v>
      </c>
    </row>
    <row r="93" spans="1:14" x14ac:dyDescent="0.25">
      <c r="A93" s="65" t="s">
        <v>2396</v>
      </c>
      <c r="B93" s="65"/>
      <c r="C93" s="118">
        <v>0.66969999999999996</v>
      </c>
      <c r="D93" s="118">
        <v>0.99270000000000003</v>
      </c>
      <c r="E93" s="118">
        <v>0.99309999999999998</v>
      </c>
      <c r="F93" s="118">
        <v>0.99229999999999996</v>
      </c>
      <c r="G93" s="118">
        <v>0.40489999999999998</v>
      </c>
      <c r="H93" s="118">
        <v>0.99229999999999996</v>
      </c>
      <c r="I93" s="118">
        <v>0.99060000000000004</v>
      </c>
      <c r="J93" s="118">
        <v>0.99070000000000003</v>
      </c>
      <c r="K93" s="118">
        <v>0.99129999999999996</v>
      </c>
      <c r="L93" s="118">
        <v>0.99050000000000005</v>
      </c>
    </row>
  </sheetData>
  <mergeCells count="21">
    <mergeCell ref="E3:N3"/>
    <mergeCell ref="E4:F4"/>
    <mergeCell ref="G4:H4"/>
    <mergeCell ref="I4:J4"/>
    <mergeCell ref="K4:L4"/>
    <mergeCell ref="M4:N4"/>
    <mergeCell ref="A88:L88"/>
    <mergeCell ref="K19:L19"/>
    <mergeCell ref="B50:B51"/>
    <mergeCell ref="A54:A55"/>
    <mergeCell ref="C54:D54"/>
    <mergeCell ref="E54:F54"/>
    <mergeCell ref="G54:H54"/>
    <mergeCell ref="I54:J54"/>
    <mergeCell ref="K54:L54"/>
    <mergeCell ref="A19:A20"/>
    <mergeCell ref="B19:B20"/>
    <mergeCell ref="C19:D19"/>
    <mergeCell ref="E19:F19"/>
    <mergeCell ref="G19:H19"/>
    <mergeCell ref="I19:J19"/>
  </mergeCells>
  <pageMargins left="0.25" right="0.25" top="0.75" bottom="0.75" header="0.3" footer="0.3"/>
  <pageSetup scale="88" orientation="landscape" horizontalDpi="1200" verticalDpi="12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82F27-B843-4F46-B82D-76C77E6786C8}">
  <sheetPr>
    <pageSetUpPr fitToPage="1"/>
  </sheetPr>
  <dimension ref="A1:G20"/>
  <sheetViews>
    <sheetView workbookViewId="0">
      <selection activeCell="B34" sqref="B34"/>
    </sheetView>
  </sheetViews>
  <sheetFormatPr defaultRowHeight="15" x14ac:dyDescent="0.25"/>
  <cols>
    <col min="1" max="1" width="39.85546875" customWidth="1"/>
    <col min="2" max="7" width="24.42578125" customWidth="1"/>
  </cols>
  <sheetData>
    <row r="1" spans="1:7" ht="28.5" customHeight="1" x14ac:dyDescent="0.25">
      <c r="A1" s="246" t="s">
        <v>2861</v>
      </c>
      <c r="B1" s="246"/>
      <c r="C1" s="246"/>
      <c r="D1" s="246"/>
      <c r="E1" s="246"/>
      <c r="F1" s="246"/>
      <c r="G1" s="246"/>
    </row>
    <row r="2" spans="1:7" x14ac:dyDescent="0.25">
      <c r="A2" s="19"/>
    </row>
    <row r="3" spans="1:7" ht="15.75" thickBot="1" x14ac:dyDescent="0.3">
      <c r="A3" s="19" t="s">
        <v>11</v>
      </c>
    </row>
    <row r="4" spans="1:7" x14ac:dyDescent="0.25">
      <c r="A4" s="67"/>
      <c r="B4" s="197" t="s">
        <v>35</v>
      </c>
      <c r="C4" s="198"/>
      <c r="D4" s="197" t="s">
        <v>36</v>
      </c>
      <c r="E4" s="198"/>
      <c r="F4" s="197" t="s">
        <v>327</v>
      </c>
      <c r="G4" s="198"/>
    </row>
    <row r="5" spans="1:7" ht="15.75" thickBot="1" x14ac:dyDescent="0.3">
      <c r="A5" s="61"/>
      <c r="B5" s="75" t="s">
        <v>330</v>
      </c>
      <c r="C5" s="75" t="s">
        <v>331</v>
      </c>
      <c r="D5" s="75" t="s">
        <v>330</v>
      </c>
      <c r="E5" s="75" t="s">
        <v>331</v>
      </c>
      <c r="F5" s="75" t="s">
        <v>330</v>
      </c>
      <c r="G5" s="75" t="s">
        <v>331</v>
      </c>
    </row>
    <row r="6" spans="1:7" x14ac:dyDescent="0.25">
      <c r="A6" s="201" t="s">
        <v>2762</v>
      </c>
      <c r="B6" s="202"/>
      <c r="C6" s="202"/>
      <c r="D6" s="202"/>
      <c r="E6" s="202"/>
      <c r="F6" s="202"/>
      <c r="G6" s="247"/>
    </row>
    <row r="7" spans="1:7" ht="15.75" thickBot="1" x14ac:dyDescent="0.3">
      <c r="A7" s="48" t="s">
        <v>532</v>
      </c>
      <c r="B7" s="27">
        <v>25</v>
      </c>
      <c r="C7" s="27">
        <v>25</v>
      </c>
      <c r="D7" s="27">
        <v>24</v>
      </c>
      <c r="E7" s="27">
        <v>25</v>
      </c>
      <c r="F7" s="27">
        <v>24</v>
      </c>
      <c r="G7" s="27">
        <v>25</v>
      </c>
    </row>
    <row r="8" spans="1:7" ht="15.75" thickBot="1" x14ac:dyDescent="0.3">
      <c r="A8" s="64" t="s">
        <v>533</v>
      </c>
      <c r="B8" s="63">
        <v>1839828</v>
      </c>
      <c r="C8" s="62">
        <v>1442091</v>
      </c>
      <c r="D8" s="25">
        <v>1838412</v>
      </c>
      <c r="E8" s="25">
        <v>1442091</v>
      </c>
      <c r="F8" s="25">
        <v>1838412</v>
      </c>
      <c r="G8" s="25">
        <v>1442091</v>
      </c>
    </row>
    <row r="9" spans="1:7" x14ac:dyDescent="0.25">
      <c r="A9" s="48" t="s">
        <v>534</v>
      </c>
      <c r="B9" s="35">
        <v>48982</v>
      </c>
      <c r="C9" s="25">
        <v>49535</v>
      </c>
      <c r="D9" s="25">
        <v>28967</v>
      </c>
      <c r="E9" s="25">
        <v>32095</v>
      </c>
      <c r="F9" s="25">
        <v>28399</v>
      </c>
      <c r="G9" s="25">
        <v>26125</v>
      </c>
    </row>
    <row r="10" spans="1:7" x14ac:dyDescent="0.25">
      <c r="A10" s="48" t="s">
        <v>833</v>
      </c>
      <c r="B10" s="25" t="s">
        <v>2763</v>
      </c>
      <c r="C10" s="25" t="s">
        <v>2764</v>
      </c>
      <c r="D10" s="25" t="s">
        <v>2765</v>
      </c>
      <c r="E10" s="25" t="s">
        <v>2766</v>
      </c>
      <c r="F10" s="25" t="s">
        <v>2767</v>
      </c>
      <c r="G10" s="25" t="s">
        <v>2768</v>
      </c>
    </row>
    <row r="11" spans="1:7" x14ac:dyDescent="0.25">
      <c r="A11" s="48" t="s">
        <v>844</v>
      </c>
      <c r="B11" s="25" t="s">
        <v>2769</v>
      </c>
      <c r="C11" s="25" t="s">
        <v>2770</v>
      </c>
      <c r="D11" s="25" t="s">
        <v>2771</v>
      </c>
      <c r="E11" s="25" t="s">
        <v>2772</v>
      </c>
      <c r="F11" s="25" t="s">
        <v>2773</v>
      </c>
      <c r="G11" s="25" t="s">
        <v>2774</v>
      </c>
    </row>
    <row r="12" spans="1:7" ht="15.75" thickBot="1" x14ac:dyDescent="0.3">
      <c r="A12" s="49" t="s">
        <v>2775</v>
      </c>
      <c r="B12" s="29" t="s">
        <v>2776</v>
      </c>
      <c r="C12" s="29" t="s">
        <v>2777</v>
      </c>
      <c r="D12" s="29" t="s">
        <v>2778</v>
      </c>
      <c r="E12" s="29" t="s">
        <v>2779</v>
      </c>
      <c r="F12" s="29" t="s">
        <v>2780</v>
      </c>
      <c r="G12" s="29" t="s">
        <v>2781</v>
      </c>
    </row>
    <row r="13" spans="1:7" x14ac:dyDescent="0.25">
      <c r="A13" s="201" t="s">
        <v>2858</v>
      </c>
      <c r="B13" s="202"/>
      <c r="C13" s="202"/>
      <c r="D13" s="202"/>
      <c r="E13" s="202"/>
      <c r="F13" s="202"/>
      <c r="G13" s="202"/>
    </row>
    <row r="14" spans="1:7" x14ac:dyDescent="0.25">
      <c r="A14" s="50" t="s">
        <v>532</v>
      </c>
      <c r="B14" s="27">
        <v>25</v>
      </c>
      <c r="C14" s="27">
        <v>25</v>
      </c>
      <c r="D14" s="27">
        <v>24</v>
      </c>
      <c r="E14" s="27">
        <v>25</v>
      </c>
      <c r="F14" s="27">
        <v>24</v>
      </c>
      <c r="G14" s="27">
        <v>25</v>
      </c>
    </row>
    <row r="15" spans="1:7" x14ac:dyDescent="0.25">
      <c r="A15" s="48" t="s">
        <v>533</v>
      </c>
      <c r="B15" s="25">
        <v>1839828</v>
      </c>
      <c r="C15" s="23">
        <v>1442091</v>
      </c>
      <c r="D15" s="23">
        <v>1838412</v>
      </c>
      <c r="E15" s="23">
        <v>1442091</v>
      </c>
      <c r="F15" s="23">
        <v>1838412</v>
      </c>
      <c r="G15" s="23">
        <v>1442091</v>
      </c>
    </row>
    <row r="16" spans="1:7" x14ac:dyDescent="0.25">
      <c r="A16" s="48" t="s">
        <v>534</v>
      </c>
      <c r="B16" s="23">
        <v>48982</v>
      </c>
      <c r="C16" s="23">
        <v>49535</v>
      </c>
      <c r="D16" s="23">
        <v>28967</v>
      </c>
      <c r="E16" s="23">
        <v>32095</v>
      </c>
      <c r="F16" s="23">
        <v>28399</v>
      </c>
      <c r="G16" s="23">
        <v>26125</v>
      </c>
    </row>
    <row r="17" spans="1:7" x14ac:dyDescent="0.25">
      <c r="A17" s="155" t="s">
        <v>833</v>
      </c>
      <c r="B17" s="23" t="s">
        <v>834</v>
      </c>
      <c r="C17" s="23" t="s">
        <v>835</v>
      </c>
      <c r="D17" s="23" t="s">
        <v>836</v>
      </c>
      <c r="E17" s="23" t="s">
        <v>837</v>
      </c>
      <c r="F17" s="23" t="s">
        <v>838</v>
      </c>
      <c r="G17" s="23" t="s">
        <v>839</v>
      </c>
    </row>
    <row r="18" spans="1:7" x14ac:dyDescent="0.25">
      <c r="A18" s="19"/>
      <c r="B18" s="20"/>
      <c r="C18" s="20"/>
      <c r="D18" s="20"/>
      <c r="E18" s="20"/>
      <c r="F18" s="20"/>
      <c r="G18" s="20"/>
    </row>
    <row r="20" spans="1:7" ht="27.6" customHeight="1" x14ac:dyDescent="0.25">
      <c r="A20" s="239" t="s">
        <v>1024</v>
      </c>
      <c r="B20" s="239"/>
      <c r="C20" s="239"/>
      <c r="D20" s="239"/>
      <c r="E20" s="239"/>
      <c r="F20" s="239"/>
      <c r="G20" s="239"/>
    </row>
  </sheetData>
  <mergeCells count="7">
    <mergeCell ref="A20:G20"/>
    <mergeCell ref="A1:G1"/>
    <mergeCell ref="A6:G6"/>
    <mergeCell ref="A13:G13"/>
    <mergeCell ref="B4:C4"/>
    <mergeCell ref="D4:E4"/>
    <mergeCell ref="F4:G4"/>
  </mergeCells>
  <pageMargins left="0.25" right="0.25" top="0.75" bottom="0.75" header="0.3" footer="0.3"/>
  <pageSetup scale="72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CA34E-1D3D-4E1C-8621-155C36A68B65}">
  <sheetPr>
    <pageSetUpPr fitToPage="1"/>
  </sheetPr>
  <dimension ref="A1:C27"/>
  <sheetViews>
    <sheetView zoomScale="96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E7" sqref="E7"/>
    </sheetView>
  </sheetViews>
  <sheetFormatPr defaultRowHeight="15" x14ac:dyDescent="0.25"/>
  <cols>
    <col min="1" max="1" width="24.5703125" customWidth="1"/>
    <col min="2" max="3" width="16.85546875" style="20" customWidth="1"/>
  </cols>
  <sheetData>
    <row r="1" spans="1:3" ht="45.6" customHeight="1" x14ac:dyDescent="0.25">
      <c r="A1" s="246" t="s">
        <v>2862</v>
      </c>
      <c r="B1" s="246"/>
      <c r="C1" s="246"/>
    </row>
    <row r="2" spans="1:3" x14ac:dyDescent="0.25">
      <c r="A2" s="18"/>
      <c r="B2" s="223" t="s">
        <v>2784</v>
      </c>
      <c r="C2" s="224"/>
    </row>
    <row r="3" spans="1:3" x14ac:dyDescent="0.25">
      <c r="A3" s="64" t="s">
        <v>1521</v>
      </c>
      <c r="B3" s="91" t="s">
        <v>1522</v>
      </c>
      <c r="C3" s="129" t="s">
        <v>222</v>
      </c>
    </row>
    <row r="4" spans="1:3" x14ac:dyDescent="0.25">
      <c r="A4" s="64" t="s">
        <v>1523</v>
      </c>
      <c r="B4" s="25" t="s">
        <v>2785</v>
      </c>
      <c r="C4" s="25" t="s">
        <v>2786</v>
      </c>
    </row>
    <row r="5" spans="1:3" x14ac:dyDescent="0.25">
      <c r="A5" s="64" t="s">
        <v>1534</v>
      </c>
      <c r="B5" s="25" t="s">
        <v>2787</v>
      </c>
      <c r="C5" s="25" t="s">
        <v>2788</v>
      </c>
    </row>
    <row r="6" spans="1:3" x14ac:dyDescent="0.25">
      <c r="A6" s="64" t="s">
        <v>1545</v>
      </c>
      <c r="B6" s="25" t="s">
        <v>2789</v>
      </c>
      <c r="C6" s="25" t="s">
        <v>2790</v>
      </c>
    </row>
    <row r="7" spans="1:3" x14ac:dyDescent="0.25">
      <c r="A7" s="64" t="s">
        <v>1556</v>
      </c>
      <c r="B7" s="25" t="s">
        <v>2791</v>
      </c>
      <c r="C7" s="25" t="s">
        <v>2792</v>
      </c>
    </row>
    <row r="8" spans="1:3" x14ac:dyDescent="0.25">
      <c r="A8" s="64" t="s">
        <v>331</v>
      </c>
      <c r="B8" s="25" t="s">
        <v>2772</v>
      </c>
      <c r="C8" s="25" t="s">
        <v>2783</v>
      </c>
    </row>
    <row r="9" spans="1:3" x14ac:dyDescent="0.25">
      <c r="A9" s="64" t="s">
        <v>330</v>
      </c>
      <c r="B9" s="25" t="s">
        <v>2771</v>
      </c>
      <c r="C9" s="25" t="s">
        <v>2782</v>
      </c>
    </row>
    <row r="10" spans="1:3" x14ac:dyDescent="0.25">
      <c r="A10" s="64" t="s">
        <v>1031</v>
      </c>
      <c r="B10" s="25" t="s">
        <v>2793</v>
      </c>
      <c r="C10" s="25" t="s">
        <v>2794</v>
      </c>
    </row>
    <row r="11" spans="1:3" x14ac:dyDescent="0.25">
      <c r="A11" s="64" t="s">
        <v>1042</v>
      </c>
      <c r="B11" s="25" t="s">
        <v>2795</v>
      </c>
      <c r="C11" s="25" t="s">
        <v>2796</v>
      </c>
    </row>
    <row r="12" spans="1:3" x14ac:dyDescent="0.25">
      <c r="A12" s="64" t="s">
        <v>1053</v>
      </c>
      <c r="B12" s="25" t="s">
        <v>2797</v>
      </c>
      <c r="C12" s="25" t="s">
        <v>2798</v>
      </c>
    </row>
    <row r="13" spans="1:3" x14ac:dyDescent="0.25">
      <c r="A13" s="64" t="s">
        <v>1064</v>
      </c>
      <c r="B13" s="25" t="s">
        <v>2799</v>
      </c>
      <c r="C13" s="25" t="s">
        <v>2800</v>
      </c>
    </row>
    <row r="14" spans="1:3" x14ac:dyDescent="0.25">
      <c r="A14" s="64" t="s">
        <v>1617</v>
      </c>
      <c r="B14" s="25" t="s">
        <v>2801</v>
      </c>
      <c r="C14" s="25" t="s">
        <v>2802</v>
      </c>
    </row>
    <row r="15" spans="1:3" x14ac:dyDescent="0.25">
      <c r="A15" s="64" t="s">
        <v>1628</v>
      </c>
      <c r="B15" s="25" t="s">
        <v>2803</v>
      </c>
      <c r="C15" s="25" t="s">
        <v>2804</v>
      </c>
    </row>
    <row r="16" spans="1:3" x14ac:dyDescent="0.25">
      <c r="A16" s="64" t="s">
        <v>1639</v>
      </c>
      <c r="B16" s="25" t="s">
        <v>2805</v>
      </c>
      <c r="C16" s="25" t="s">
        <v>2806</v>
      </c>
    </row>
    <row r="17" spans="1:3" x14ac:dyDescent="0.25">
      <c r="A17" s="64" t="s">
        <v>1650</v>
      </c>
      <c r="B17" s="25" t="s">
        <v>2807</v>
      </c>
      <c r="C17" s="25" t="s">
        <v>2808</v>
      </c>
    </row>
    <row r="18" spans="1:3" x14ac:dyDescent="0.25">
      <c r="A18" s="64" t="s">
        <v>1661</v>
      </c>
      <c r="B18" s="25" t="s">
        <v>2809</v>
      </c>
      <c r="C18" s="25" t="s">
        <v>2810</v>
      </c>
    </row>
    <row r="19" spans="1:3" x14ac:dyDescent="0.25">
      <c r="A19" s="64" t="s">
        <v>1672</v>
      </c>
      <c r="B19" s="25" t="s">
        <v>2811</v>
      </c>
      <c r="C19" s="25" t="s">
        <v>2812</v>
      </c>
    </row>
    <row r="20" spans="1:3" x14ac:dyDescent="0.25">
      <c r="A20" s="64" t="s">
        <v>1683</v>
      </c>
      <c r="B20" s="25" t="s">
        <v>2813</v>
      </c>
      <c r="C20" s="25" t="s">
        <v>2814</v>
      </c>
    </row>
    <row r="21" spans="1:3" x14ac:dyDescent="0.25">
      <c r="A21" s="64" t="s">
        <v>1694</v>
      </c>
      <c r="B21" s="25" t="s">
        <v>2815</v>
      </c>
      <c r="C21" s="25" t="s">
        <v>2816</v>
      </c>
    </row>
    <row r="22" spans="1:3" x14ac:dyDescent="0.25">
      <c r="A22" s="64" t="s">
        <v>1705</v>
      </c>
      <c r="B22" s="25" t="s">
        <v>2817</v>
      </c>
      <c r="C22" s="25" t="s">
        <v>2814</v>
      </c>
    </row>
    <row r="23" spans="1:3" x14ac:dyDescent="0.25">
      <c r="A23" s="64" t="s">
        <v>1716</v>
      </c>
      <c r="B23" s="25" t="s">
        <v>2818</v>
      </c>
      <c r="C23" s="25" t="s">
        <v>2819</v>
      </c>
    </row>
    <row r="24" spans="1:3" x14ac:dyDescent="0.25">
      <c r="A24" s="83" t="s">
        <v>1727</v>
      </c>
      <c r="B24" s="68" t="s">
        <v>2820</v>
      </c>
      <c r="C24" s="68" t="s">
        <v>2821</v>
      </c>
    </row>
    <row r="25" spans="1:3" x14ac:dyDescent="0.25">
      <c r="A25" s="83" t="s">
        <v>1738</v>
      </c>
      <c r="B25" s="68" t="s">
        <v>2822</v>
      </c>
      <c r="C25" s="68" t="s">
        <v>2823</v>
      </c>
    </row>
    <row r="26" spans="1:3" x14ac:dyDescent="0.25">
      <c r="A26" s="83" t="s">
        <v>1749</v>
      </c>
      <c r="B26" s="68" t="s">
        <v>2824</v>
      </c>
      <c r="C26" s="68" t="s">
        <v>2825</v>
      </c>
    </row>
    <row r="27" spans="1:3" ht="15.75" thickBot="1" x14ac:dyDescent="0.3">
      <c r="A27" s="84" t="s">
        <v>1760</v>
      </c>
      <c r="B27" s="29" t="s">
        <v>2826</v>
      </c>
      <c r="C27" s="29" t="s">
        <v>2827</v>
      </c>
    </row>
  </sheetData>
  <mergeCells count="2">
    <mergeCell ref="B2:C2"/>
    <mergeCell ref="A1:C1"/>
  </mergeCells>
  <pageMargins left="0.25" right="0.25" top="0.75" bottom="0.75" header="0.3" footer="0.3"/>
  <pageSetup orientation="landscape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7361E-8F33-46F5-AF9F-28ADF8EEC1C8}">
  <sheetPr>
    <pageSetUpPr fitToPage="1"/>
  </sheetPr>
  <dimension ref="A1:F12"/>
  <sheetViews>
    <sheetView workbookViewId="0"/>
  </sheetViews>
  <sheetFormatPr defaultRowHeight="15" x14ac:dyDescent="0.25"/>
  <cols>
    <col min="1" max="1" width="24.85546875" customWidth="1"/>
    <col min="2" max="6" width="18.85546875" customWidth="1"/>
  </cols>
  <sheetData>
    <row r="1" spans="1:6" ht="15.75" thickBot="1" x14ac:dyDescent="0.3">
      <c r="A1" s="19" t="s">
        <v>2863</v>
      </c>
    </row>
    <row r="2" spans="1:6" x14ac:dyDescent="0.25">
      <c r="A2" s="37" t="s">
        <v>2828</v>
      </c>
      <c r="B2" s="38" t="s">
        <v>1516</v>
      </c>
      <c r="C2" s="38" t="s">
        <v>2829</v>
      </c>
      <c r="D2" s="39" t="s">
        <v>2830</v>
      </c>
      <c r="E2" s="38" t="s">
        <v>2831</v>
      </c>
      <c r="F2" s="40" t="s">
        <v>2832</v>
      </c>
    </row>
    <row r="3" spans="1:6" x14ac:dyDescent="0.25">
      <c r="A3" s="41" t="s">
        <v>35</v>
      </c>
      <c r="B3" s="25" t="s">
        <v>2833</v>
      </c>
      <c r="C3" s="25" t="s">
        <v>2834</v>
      </c>
      <c r="D3" s="25" t="s">
        <v>2835</v>
      </c>
      <c r="E3" s="25" t="s">
        <v>2836</v>
      </c>
      <c r="F3" s="34" t="s">
        <v>2837</v>
      </c>
    </row>
    <row r="4" spans="1:6" x14ac:dyDescent="0.25">
      <c r="A4" s="41" t="s">
        <v>36</v>
      </c>
      <c r="B4" s="25" t="s">
        <v>2838</v>
      </c>
      <c r="C4" s="25" t="s">
        <v>2839</v>
      </c>
      <c r="D4" s="25" t="s">
        <v>2840</v>
      </c>
      <c r="E4" s="25" t="s">
        <v>2841</v>
      </c>
      <c r="F4" s="34" t="s">
        <v>2842</v>
      </c>
    </row>
    <row r="5" spans="1:6" x14ac:dyDescent="0.25">
      <c r="A5" s="41" t="s">
        <v>37</v>
      </c>
      <c r="B5" s="25" t="s">
        <v>2843</v>
      </c>
      <c r="C5" s="25" t="s">
        <v>2844</v>
      </c>
      <c r="D5" s="25" t="s">
        <v>2845</v>
      </c>
      <c r="E5" s="25" t="s">
        <v>2846</v>
      </c>
      <c r="F5" s="34" t="s">
        <v>2847</v>
      </c>
    </row>
    <row r="6" spans="1:6" x14ac:dyDescent="0.25">
      <c r="A6" s="2" t="s">
        <v>328</v>
      </c>
      <c r="B6" s="25" t="s">
        <v>2848</v>
      </c>
      <c r="C6" s="25" t="s">
        <v>2849</v>
      </c>
      <c r="D6" s="25" t="s">
        <v>2850</v>
      </c>
      <c r="E6" s="25" t="s">
        <v>2851</v>
      </c>
      <c r="F6" s="34" t="s">
        <v>2852</v>
      </c>
    </row>
    <row r="7" spans="1:6" ht="15.75" thickBot="1" x14ac:dyDescent="0.3">
      <c r="A7" s="42" t="s">
        <v>39</v>
      </c>
      <c r="B7" s="29" t="s">
        <v>2853</v>
      </c>
      <c r="C7" s="29" t="s">
        <v>2854</v>
      </c>
      <c r="D7" s="29" t="s">
        <v>2855</v>
      </c>
      <c r="E7" s="29" t="s">
        <v>2856</v>
      </c>
      <c r="F7" s="32" t="s">
        <v>2857</v>
      </c>
    </row>
    <row r="9" spans="1:6" x14ac:dyDescent="0.25">
      <c r="A9" s="43"/>
    </row>
    <row r="12" spans="1:6" x14ac:dyDescent="0.25">
      <c r="A12" s="18"/>
    </row>
  </sheetData>
  <pageMargins left="0.25" right="0.25" top="0.75" bottom="0.75" header="0.3" footer="0.3"/>
  <pageSetup orientation="landscape" horizontalDpi="1200" verticalDpi="12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E77D1-72AB-4AEC-A09B-F838219E4615}">
  <sheetPr>
    <pageSetUpPr fitToPage="1"/>
  </sheetPr>
  <dimension ref="A1:M28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9" sqref="A19"/>
    </sheetView>
  </sheetViews>
  <sheetFormatPr defaultRowHeight="15" x14ac:dyDescent="0.25"/>
  <cols>
    <col min="1" max="1" width="39" customWidth="1"/>
    <col min="2" max="11" width="13.85546875" customWidth="1"/>
  </cols>
  <sheetData>
    <row r="1" spans="1:13" x14ac:dyDescent="0.25">
      <c r="A1" s="65" t="s">
        <v>2864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13" x14ac:dyDescent="0.25">
      <c r="A2" s="33"/>
      <c r="B2" s="192" t="s">
        <v>35</v>
      </c>
      <c r="C2" s="192"/>
      <c r="D2" s="192" t="s">
        <v>36</v>
      </c>
      <c r="E2" s="192"/>
      <c r="F2" s="192" t="s">
        <v>327</v>
      </c>
      <c r="G2" s="192"/>
      <c r="H2" s="192" t="s">
        <v>328</v>
      </c>
      <c r="I2" s="192"/>
      <c r="J2" s="192" t="s">
        <v>39</v>
      </c>
      <c r="K2" s="192"/>
    </row>
    <row r="3" spans="1:13" x14ac:dyDescent="0.25">
      <c r="A3" s="65" t="s">
        <v>329</v>
      </c>
      <c r="B3" s="124" t="s">
        <v>330</v>
      </c>
      <c r="C3" s="124" t="s">
        <v>331</v>
      </c>
      <c r="D3" s="124" t="s">
        <v>330</v>
      </c>
      <c r="E3" s="124" t="s">
        <v>331</v>
      </c>
      <c r="F3" s="124" t="s">
        <v>330</v>
      </c>
      <c r="G3" s="124" t="s">
        <v>331</v>
      </c>
      <c r="H3" s="124" t="s">
        <v>330</v>
      </c>
      <c r="I3" s="124" t="s">
        <v>331</v>
      </c>
      <c r="J3" s="124" t="s">
        <v>330</v>
      </c>
      <c r="K3" s="124" t="s">
        <v>331</v>
      </c>
    </row>
    <row r="4" spans="1:13" x14ac:dyDescent="0.25">
      <c r="A4" s="19" t="s">
        <v>332</v>
      </c>
      <c r="B4" s="44" t="s">
        <v>2398</v>
      </c>
      <c r="C4" s="44" t="s">
        <v>2399</v>
      </c>
      <c r="D4" s="44" t="s">
        <v>2400</v>
      </c>
      <c r="E4" s="44" t="s">
        <v>2401</v>
      </c>
      <c r="F4" s="44"/>
      <c r="G4" s="44"/>
      <c r="H4" s="44" t="s">
        <v>2402</v>
      </c>
      <c r="I4" s="44" t="s">
        <v>2403</v>
      </c>
      <c r="J4" s="44" t="s">
        <v>2404</v>
      </c>
      <c r="K4" s="44" t="s">
        <v>2405</v>
      </c>
      <c r="M4" s="20"/>
    </row>
    <row r="5" spans="1:13" x14ac:dyDescent="0.25">
      <c r="A5" s="19" t="s">
        <v>341</v>
      </c>
      <c r="B5" s="44" t="s">
        <v>2406</v>
      </c>
      <c r="C5" s="44" t="s">
        <v>2407</v>
      </c>
      <c r="D5" s="44" t="s">
        <v>2408</v>
      </c>
      <c r="E5" s="44" t="s">
        <v>2409</v>
      </c>
      <c r="F5" s="44"/>
      <c r="G5" s="44"/>
      <c r="H5" s="44" t="s">
        <v>2410</v>
      </c>
      <c r="I5" s="44" t="s">
        <v>2411</v>
      </c>
      <c r="J5" s="44" t="s">
        <v>2412</v>
      </c>
      <c r="K5" s="44" t="s">
        <v>2413</v>
      </c>
    </row>
    <row r="6" spans="1:13" x14ac:dyDescent="0.25">
      <c r="A6" s="19" t="s">
        <v>350</v>
      </c>
      <c r="B6" s="44" t="s">
        <v>2414</v>
      </c>
      <c r="C6" s="44" t="s">
        <v>2415</v>
      </c>
      <c r="D6" s="44" t="s">
        <v>2416</v>
      </c>
      <c r="E6" s="44" t="s">
        <v>2417</v>
      </c>
      <c r="F6" s="44" t="s">
        <v>2418</v>
      </c>
      <c r="G6" s="44" t="s">
        <v>2419</v>
      </c>
      <c r="H6" s="44" t="s">
        <v>2420</v>
      </c>
      <c r="I6" s="44" t="s">
        <v>2421</v>
      </c>
      <c r="J6" s="44" t="s">
        <v>2422</v>
      </c>
      <c r="K6" s="44" t="s">
        <v>2423</v>
      </c>
      <c r="M6" s="1"/>
    </row>
    <row r="7" spans="1:13" x14ac:dyDescent="0.25">
      <c r="A7" s="19" t="s">
        <v>361</v>
      </c>
      <c r="B7" s="44" t="s">
        <v>2424</v>
      </c>
      <c r="C7" s="44" t="s">
        <v>2425</v>
      </c>
      <c r="D7" s="44" t="s">
        <v>2426</v>
      </c>
      <c r="E7" s="44" t="s">
        <v>2427</v>
      </c>
      <c r="F7" s="44" t="s">
        <v>2428</v>
      </c>
      <c r="G7" s="44" t="s">
        <v>2429</v>
      </c>
      <c r="H7" s="44" t="s">
        <v>2430</v>
      </c>
      <c r="I7" s="44" t="s">
        <v>2431</v>
      </c>
      <c r="J7" s="44" t="s">
        <v>2432</v>
      </c>
      <c r="K7" s="44" t="s">
        <v>2433</v>
      </c>
      <c r="M7" s="1"/>
    </row>
    <row r="8" spans="1:13" x14ac:dyDescent="0.25">
      <c r="A8" s="19" t="s">
        <v>372</v>
      </c>
      <c r="B8" s="44" t="s">
        <v>2434</v>
      </c>
      <c r="C8" s="44" t="s">
        <v>2435</v>
      </c>
      <c r="D8" s="44" t="s">
        <v>2436</v>
      </c>
      <c r="E8" s="44" t="s">
        <v>2437</v>
      </c>
      <c r="F8" s="44" t="s">
        <v>2438</v>
      </c>
      <c r="G8" s="44" t="s">
        <v>2439</v>
      </c>
      <c r="H8" s="44" t="s">
        <v>2440</v>
      </c>
      <c r="I8" s="44" t="s">
        <v>2441</v>
      </c>
      <c r="J8" s="44" t="s">
        <v>2442</v>
      </c>
      <c r="K8" s="44" t="s">
        <v>2443</v>
      </c>
    </row>
    <row r="9" spans="1:13" x14ac:dyDescent="0.25">
      <c r="A9" s="19" t="s">
        <v>383</v>
      </c>
      <c r="B9" s="44" t="s">
        <v>2444</v>
      </c>
      <c r="C9" s="44" t="s">
        <v>2445</v>
      </c>
      <c r="D9" s="44" t="s">
        <v>2446</v>
      </c>
      <c r="E9" s="44" t="s">
        <v>2447</v>
      </c>
      <c r="F9" s="44" t="s">
        <v>2448</v>
      </c>
      <c r="G9" s="44" t="s">
        <v>2449</v>
      </c>
      <c r="H9" s="44" t="s">
        <v>2450</v>
      </c>
      <c r="I9" s="44" t="s">
        <v>2451</v>
      </c>
      <c r="J9" s="44" t="s">
        <v>2452</v>
      </c>
      <c r="K9" s="44" t="s">
        <v>2453</v>
      </c>
      <c r="L9" s="1"/>
    </row>
    <row r="10" spans="1:13" x14ac:dyDescent="0.25">
      <c r="A10" s="19" t="s">
        <v>393</v>
      </c>
      <c r="B10" s="44"/>
      <c r="C10" s="44"/>
      <c r="D10" s="44"/>
      <c r="E10" s="44"/>
      <c r="F10" s="44" t="s">
        <v>2454</v>
      </c>
      <c r="G10" s="44" t="s">
        <v>2455</v>
      </c>
      <c r="H10" s="44"/>
      <c r="I10" s="44"/>
      <c r="J10" s="44"/>
      <c r="K10" s="44"/>
      <c r="L10" s="1"/>
    </row>
    <row r="11" spans="1:13" x14ac:dyDescent="0.25">
      <c r="A11" s="19" t="s">
        <v>396</v>
      </c>
      <c r="B11" s="124"/>
      <c r="C11" s="124"/>
      <c r="D11" s="44"/>
      <c r="E11" s="44"/>
      <c r="F11" s="44" t="s">
        <v>2456</v>
      </c>
      <c r="G11" s="44" t="s">
        <v>2457</v>
      </c>
      <c r="H11" s="44"/>
      <c r="I11" s="44"/>
      <c r="J11" s="44"/>
      <c r="K11" s="44"/>
    </row>
    <row r="12" spans="1:13" x14ac:dyDescent="0.25">
      <c r="A12" s="19" t="s">
        <v>399</v>
      </c>
      <c r="B12" s="44" t="s">
        <v>2458</v>
      </c>
      <c r="C12" s="44" t="s">
        <v>2459</v>
      </c>
      <c r="D12" s="44" t="s">
        <v>2460</v>
      </c>
      <c r="E12" s="44" t="s">
        <v>2461</v>
      </c>
      <c r="F12" s="44" t="s">
        <v>2462</v>
      </c>
      <c r="G12" s="44" t="s">
        <v>2463</v>
      </c>
      <c r="H12" s="44" t="s">
        <v>2464</v>
      </c>
      <c r="I12" s="44" t="s">
        <v>2465</v>
      </c>
      <c r="J12" s="44" t="s">
        <v>2466</v>
      </c>
      <c r="K12" s="44" t="s">
        <v>2467</v>
      </c>
    </row>
    <row r="13" spans="1:13" x14ac:dyDescent="0.25">
      <c r="A13" s="19" t="s">
        <v>410</v>
      </c>
      <c r="B13" s="44" t="s">
        <v>2468</v>
      </c>
      <c r="C13" s="44" t="s">
        <v>2469</v>
      </c>
      <c r="D13" s="44" t="s">
        <v>2470</v>
      </c>
      <c r="E13" s="44" t="s">
        <v>2471</v>
      </c>
      <c r="F13" s="44" t="s">
        <v>2472</v>
      </c>
      <c r="G13" s="44" t="s">
        <v>2473</v>
      </c>
      <c r="H13" s="44" t="s">
        <v>2474</v>
      </c>
      <c r="I13" s="44" t="s">
        <v>2475</v>
      </c>
      <c r="J13" s="44" t="s">
        <v>2476</v>
      </c>
      <c r="K13" s="44" t="s">
        <v>2477</v>
      </c>
    </row>
    <row r="14" spans="1:13" x14ac:dyDescent="0.25">
      <c r="A14" s="19" t="s">
        <v>420</v>
      </c>
      <c r="B14" s="44" t="s">
        <v>2478</v>
      </c>
      <c r="C14" s="44" t="s">
        <v>2479</v>
      </c>
      <c r="D14" s="44" t="s">
        <v>2480</v>
      </c>
      <c r="E14" s="44" t="s">
        <v>2481</v>
      </c>
      <c r="F14" s="44" t="s">
        <v>2482</v>
      </c>
      <c r="G14" s="44" t="s">
        <v>2483</v>
      </c>
      <c r="H14" s="44" t="s">
        <v>2484</v>
      </c>
      <c r="I14" s="44" t="s">
        <v>2485</v>
      </c>
      <c r="J14" s="44" t="s">
        <v>2486</v>
      </c>
      <c r="K14" s="44" t="s">
        <v>2487</v>
      </c>
    </row>
    <row r="15" spans="1:13" x14ac:dyDescent="0.25">
      <c r="A15" s="19" t="s">
        <v>431</v>
      </c>
      <c r="B15" s="44" t="s">
        <v>2488</v>
      </c>
      <c r="C15" s="44" t="s">
        <v>2489</v>
      </c>
      <c r="D15" s="44" t="s">
        <v>2490</v>
      </c>
      <c r="E15" s="44" t="s">
        <v>2491</v>
      </c>
      <c r="F15" s="44"/>
      <c r="G15" s="44"/>
      <c r="H15" s="44" t="s">
        <v>2492</v>
      </c>
      <c r="I15" s="44" t="s">
        <v>2493</v>
      </c>
      <c r="J15" s="44" t="s">
        <v>2494</v>
      </c>
      <c r="K15" s="44" t="s">
        <v>2495</v>
      </c>
    </row>
    <row r="16" spans="1:13" x14ac:dyDescent="0.25">
      <c r="A16" s="19" t="s">
        <v>440</v>
      </c>
      <c r="B16" s="44" t="s">
        <v>2496</v>
      </c>
      <c r="C16" s="44" t="s">
        <v>2497</v>
      </c>
      <c r="D16" s="44" t="s">
        <v>2498</v>
      </c>
      <c r="E16" s="44" t="s">
        <v>2499</v>
      </c>
      <c r="F16" s="44" t="s">
        <v>2500</v>
      </c>
      <c r="G16" s="44" t="s">
        <v>2501</v>
      </c>
      <c r="H16" s="44" t="s">
        <v>2502</v>
      </c>
      <c r="I16" s="44" t="s">
        <v>2503</v>
      </c>
      <c r="J16" s="44" t="s">
        <v>2504</v>
      </c>
      <c r="K16" s="44" t="s">
        <v>2505</v>
      </c>
    </row>
    <row r="17" spans="1:11" x14ac:dyDescent="0.25">
      <c r="A17" s="19" t="s">
        <v>451</v>
      </c>
      <c r="B17" s="44" t="s">
        <v>2506</v>
      </c>
      <c r="C17" s="44" t="s">
        <v>2507</v>
      </c>
      <c r="D17" s="44" t="s">
        <v>2508</v>
      </c>
      <c r="E17" s="44" t="s">
        <v>2509</v>
      </c>
      <c r="F17" s="44"/>
      <c r="G17" s="44"/>
      <c r="H17" s="44" t="s">
        <v>2510</v>
      </c>
      <c r="I17" s="44" t="s">
        <v>2511</v>
      </c>
      <c r="J17" s="44" t="s">
        <v>63</v>
      </c>
      <c r="K17" s="44" t="s">
        <v>2512</v>
      </c>
    </row>
    <row r="18" spans="1:11" x14ac:dyDescent="0.25">
      <c r="A18" s="19" t="s">
        <v>460</v>
      </c>
      <c r="B18" s="44" t="s">
        <v>2513</v>
      </c>
      <c r="C18" s="44" t="s">
        <v>2514</v>
      </c>
      <c r="D18" s="44" t="s">
        <v>2515</v>
      </c>
      <c r="E18" s="44" t="s">
        <v>2516</v>
      </c>
      <c r="F18" s="33"/>
      <c r="G18" s="33"/>
      <c r="H18" s="44" t="s">
        <v>2517</v>
      </c>
      <c r="I18" s="44" t="s">
        <v>2518</v>
      </c>
      <c r="J18" s="44" t="s">
        <v>2519</v>
      </c>
      <c r="K18" s="44" t="s">
        <v>2520</v>
      </c>
    </row>
    <row r="19" spans="1:11" x14ac:dyDescent="0.25">
      <c r="A19" s="65" t="s">
        <v>3079</v>
      </c>
      <c r="B19" s="44" t="s">
        <v>2521</v>
      </c>
      <c r="C19" s="44" t="s">
        <v>2522</v>
      </c>
      <c r="D19" s="44" t="s">
        <v>2523</v>
      </c>
      <c r="E19" s="44" t="s">
        <v>2524</v>
      </c>
      <c r="F19" s="44"/>
      <c r="G19" s="44"/>
      <c r="H19" s="44" t="s">
        <v>2525</v>
      </c>
      <c r="I19" s="44" t="s">
        <v>2526</v>
      </c>
      <c r="J19" s="44" t="s">
        <v>2527</v>
      </c>
      <c r="K19" s="44" t="s">
        <v>2528</v>
      </c>
    </row>
    <row r="20" spans="1:11" x14ac:dyDescent="0.25">
      <c r="A20" s="19" t="s">
        <v>475</v>
      </c>
      <c r="B20" s="44" t="s">
        <v>2529</v>
      </c>
      <c r="C20" s="44" t="s">
        <v>2530</v>
      </c>
      <c r="D20" s="44" t="s">
        <v>2531</v>
      </c>
      <c r="E20" s="44" t="s">
        <v>2532</v>
      </c>
      <c r="F20" s="44" t="s">
        <v>2533</v>
      </c>
      <c r="G20" s="44" t="s">
        <v>2534</v>
      </c>
      <c r="H20" s="44" t="s">
        <v>2535</v>
      </c>
      <c r="I20" s="44" t="s">
        <v>2536</v>
      </c>
      <c r="J20" s="44" t="s">
        <v>2537</v>
      </c>
      <c r="K20" s="44" t="s">
        <v>2538</v>
      </c>
    </row>
    <row r="21" spans="1:11" x14ac:dyDescent="0.25">
      <c r="A21" s="19" t="s">
        <v>481</v>
      </c>
      <c r="B21" s="44" t="s">
        <v>2539</v>
      </c>
      <c r="C21" s="44" t="s">
        <v>2540</v>
      </c>
      <c r="D21" s="44" t="s">
        <v>2541</v>
      </c>
      <c r="E21" s="44" t="s">
        <v>2542</v>
      </c>
      <c r="F21" s="44" t="s">
        <v>2543</v>
      </c>
      <c r="G21" s="44" t="s">
        <v>2544</v>
      </c>
      <c r="H21" s="44" t="s">
        <v>2545</v>
      </c>
      <c r="I21" s="44" t="s">
        <v>2546</v>
      </c>
      <c r="J21" s="44" t="s">
        <v>2547</v>
      </c>
      <c r="K21" s="44" t="s">
        <v>2548</v>
      </c>
    </row>
    <row r="22" spans="1:11" x14ac:dyDescent="0.25">
      <c r="A22" s="19" t="s">
        <v>492</v>
      </c>
      <c r="B22" s="44" t="s">
        <v>2549</v>
      </c>
      <c r="C22" s="44" t="s">
        <v>2550</v>
      </c>
      <c r="D22" s="44" t="s">
        <v>2551</v>
      </c>
      <c r="E22" s="44" t="s">
        <v>2552</v>
      </c>
      <c r="F22" s="44" t="s">
        <v>2553</v>
      </c>
      <c r="G22" s="44" t="s">
        <v>2554</v>
      </c>
      <c r="H22" s="44" t="s">
        <v>2555</v>
      </c>
      <c r="I22" s="44" t="s">
        <v>2556</v>
      </c>
      <c r="J22" s="44" t="s">
        <v>2557</v>
      </c>
      <c r="K22" s="44" t="s">
        <v>2558</v>
      </c>
    </row>
    <row r="23" spans="1:11" x14ac:dyDescent="0.25">
      <c r="A23" s="19" t="s">
        <v>501</v>
      </c>
      <c r="B23" s="124"/>
      <c r="C23" s="124"/>
      <c r="D23" s="44"/>
      <c r="E23" s="44"/>
      <c r="F23" s="44" t="s">
        <v>2559</v>
      </c>
      <c r="G23" s="44" t="s">
        <v>2560</v>
      </c>
      <c r="H23" s="44"/>
      <c r="I23" s="44"/>
      <c r="J23" s="44"/>
      <c r="K23" s="44"/>
    </row>
    <row r="24" spans="1:11" x14ac:dyDescent="0.25">
      <c r="A24" s="19" t="s">
        <v>504</v>
      </c>
      <c r="B24" s="44" t="s">
        <v>2561</v>
      </c>
      <c r="C24" s="44" t="s">
        <v>63</v>
      </c>
      <c r="D24" s="44" t="s">
        <v>2562</v>
      </c>
      <c r="E24" s="44" t="s">
        <v>63</v>
      </c>
      <c r="F24" s="44" t="s">
        <v>2563</v>
      </c>
      <c r="G24" s="44" t="s">
        <v>63</v>
      </c>
      <c r="H24" s="44" t="s">
        <v>2564</v>
      </c>
      <c r="I24" s="44" t="s">
        <v>63</v>
      </c>
      <c r="J24" s="44" t="s">
        <v>2565</v>
      </c>
      <c r="K24" s="44" t="s">
        <v>63</v>
      </c>
    </row>
    <row r="25" spans="1:11" x14ac:dyDescent="0.25">
      <c r="F25" s="33"/>
    </row>
    <row r="26" spans="1:11" x14ac:dyDescent="0.25">
      <c r="A26" s="19" t="s">
        <v>2566</v>
      </c>
    </row>
    <row r="28" spans="1:11" x14ac:dyDescent="0.25">
      <c r="A28" s="18"/>
    </row>
  </sheetData>
  <mergeCells count="5">
    <mergeCell ref="B2:C2"/>
    <mergeCell ref="D2:E2"/>
    <mergeCell ref="F2:G2"/>
    <mergeCell ref="H2:I2"/>
    <mergeCell ref="J2:K2"/>
  </mergeCells>
  <pageMargins left="0.25" right="0.25" top="0.75" bottom="0.75" header="0.3" footer="0.3"/>
  <pageSetup scale="76" orientation="landscape" horizontalDpi="1200" verticalDpi="12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26DBF-FAD3-48BB-B2EF-B54563AB56D9}">
  <sheetPr>
    <pageSetUpPr fitToPage="1"/>
  </sheetPr>
  <dimension ref="A1:L52"/>
  <sheetViews>
    <sheetView workbookViewId="0">
      <pane xSplit="1" ySplit="3" topLeftCell="B4" activePane="bottomRight" state="frozen"/>
      <selection activeCell="A4" sqref="A4:A24"/>
      <selection pane="topRight" activeCell="A4" sqref="A4:A24"/>
      <selection pane="bottomLeft" activeCell="A4" sqref="A4:A24"/>
      <selection pane="bottomRight" activeCell="A19" sqref="A19"/>
    </sheetView>
  </sheetViews>
  <sheetFormatPr defaultRowHeight="15" x14ac:dyDescent="0.25"/>
  <cols>
    <col min="1" max="1" width="40.85546875" customWidth="1"/>
    <col min="2" max="11" width="13.85546875" customWidth="1"/>
  </cols>
  <sheetData>
    <row r="1" spans="1:12" x14ac:dyDescent="0.25">
      <c r="A1" s="65" t="s">
        <v>3074</v>
      </c>
    </row>
    <row r="2" spans="1:12" x14ac:dyDescent="0.25">
      <c r="B2" s="192" t="s">
        <v>35</v>
      </c>
      <c r="C2" s="193"/>
      <c r="D2" s="190" t="s">
        <v>36</v>
      </c>
      <c r="E2" s="190"/>
      <c r="F2" s="190" t="s">
        <v>327</v>
      </c>
      <c r="G2" s="190"/>
      <c r="H2" s="190" t="s">
        <v>328</v>
      </c>
      <c r="I2" s="190"/>
      <c r="J2" s="190" t="s">
        <v>39</v>
      </c>
      <c r="K2" s="190"/>
    </row>
    <row r="3" spans="1:12" x14ac:dyDescent="0.25">
      <c r="A3" s="19" t="s">
        <v>329</v>
      </c>
      <c r="B3" s="124" t="s">
        <v>330</v>
      </c>
      <c r="C3" s="124" t="s">
        <v>331</v>
      </c>
      <c r="D3" s="123" t="s">
        <v>330</v>
      </c>
      <c r="E3" s="123" t="s">
        <v>331</v>
      </c>
      <c r="F3" s="123" t="s">
        <v>330</v>
      </c>
      <c r="G3" s="123" t="s">
        <v>331</v>
      </c>
      <c r="H3" s="123" t="s">
        <v>330</v>
      </c>
      <c r="I3" s="123" t="s">
        <v>331</v>
      </c>
      <c r="J3" s="123" t="s">
        <v>330</v>
      </c>
      <c r="K3" s="123" t="s">
        <v>331</v>
      </c>
    </row>
    <row r="4" spans="1:12" x14ac:dyDescent="0.25">
      <c r="A4" s="19" t="s">
        <v>332</v>
      </c>
      <c r="B4" s="20" t="s">
        <v>2567</v>
      </c>
      <c r="C4" s="20" t="s">
        <v>2568</v>
      </c>
      <c r="D4" s="20" t="s">
        <v>2569</v>
      </c>
      <c r="E4" s="20" t="s">
        <v>2570</v>
      </c>
      <c r="F4" s="20"/>
      <c r="G4" s="20"/>
      <c r="H4" s="20" t="s">
        <v>2571</v>
      </c>
      <c r="I4" s="20" t="s">
        <v>2572</v>
      </c>
      <c r="J4" s="20" t="s">
        <v>2573</v>
      </c>
      <c r="K4" s="20" t="s">
        <v>2574</v>
      </c>
    </row>
    <row r="5" spans="1:12" x14ac:dyDescent="0.25">
      <c r="A5" s="19" t="s">
        <v>341</v>
      </c>
      <c r="B5" s="20" t="s">
        <v>2575</v>
      </c>
      <c r="C5" s="20" t="s">
        <v>63</v>
      </c>
      <c r="D5" s="20" t="s">
        <v>2576</v>
      </c>
      <c r="E5" s="20" t="s">
        <v>63</v>
      </c>
      <c r="F5" s="20"/>
      <c r="G5" s="20"/>
      <c r="H5" s="20" t="s">
        <v>2577</v>
      </c>
      <c r="I5" s="20" t="s">
        <v>2578</v>
      </c>
      <c r="J5" s="20" t="s">
        <v>2579</v>
      </c>
      <c r="K5" s="20" t="s">
        <v>2580</v>
      </c>
    </row>
    <row r="6" spans="1:12" x14ac:dyDescent="0.25">
      <c r="A6" s="19" t="s">
        <v>350</v>
      </c>
      <c r="B6" s="20" t="s">
        <v>2581</v>
      </c>
      <c r="C6" s="44" t="s">
        <v>2582</v>
      </c>
      <c r="D6" s="44" t="s">
        <v>2583</v>
      </c>
      <c r="E6" s="44" t="s">
        <v>2584</v>
      </c>
      <c r="F6" s="20" t="s">
        <v>2585</v>
      </c>
      <c r="G6" s="20" t="s">
        <v>2586</v>
      </c>
      <c r="H6" s="20" t="s">
        <v>2587</v>
      </c>
      <c r="I6" s="20" t="s">
        <v>2588</v>
      </c>
      <c r="J6" s="20" t="s">
        <v>2589</v>
      </c>
      <c r="K6" s="20" t="s">
        <v>2590</v>
      </c>
    </row>
    <row r="7" spans="1:12" x14ac:dyDescent="0.25">
      <c r="A7" s="19" t="s">
        <v>361</v>
      </c>
      <c r="B7" s="44" t="s">
        <v>2591</v>
      </c>
      <c r="C7" s="20" t="s">
        <v>2592</v>
      </c>
      <c r="D7" s="44" t="s">
        <v>2593</v>
      </c>
      <c r="E7" s="20" t="s">
        <v>2594</v>
      </c>
      <c r="F7" s="20" t="s">
        <v>2595</v>
      </c>
      <c r="G7" s="20" t="s">
        <v>2596</v>
      </c>
      <c r="H7" s="20" t="s">
        <v>2597</v>
      </c>
      <c r="I7" s="20" t="s">
        <v>2598</v>
      </c>
      <c r="J7" s="44" t="s">
        <v>2599</v>
      </c>
      <c r="K7" s="20" t="s">
        <v>2600</v>
      </c>
      <c r="L7" s="1"/>
    </row>
    <row r="8" spans="1:12" x14ac:dyDescent="0.25">
      <c r="A8" s="19" t="s">
        <v>372</v>
      </c>
      <c r="B8" s="20" t="s">
        <v>63</v>
      </c>
      <c r="C8" s="20" t="s">
        <v>2601</v>
      </c>
      <c r="D8" s="20" t="s">
        <v>2602</v>
      </c>
      <c r="E8" s="20" t="s">
        <v>2603</v>
      </c>
      <c r="F8" s="44" t="s">
        <v>2604</v>
      </c>
      <c r="G8" s="20" t="s">
        <v>2605</v>
      </c>
      <c r="H8" s="20" t="s">
        <v>2606</v>
      </c>
      <c r="I8" s="20" t="s">
        <v>2607</v>
      </c>
      <c r="J8" s="20" t="s">
        <v>2608</v>
      </c>
      <c r="K8" s="44" t="s">
        <v>2609</v>
      </c>
      <c r="L8" s="1"/>
    </row>
    <row r="9" spans="1:12" x14ac:dyDescent="0.25">
      <c r="A9" s="19" t="s">
        <v>383</v>
      </c>
      <c r="B9" s="20" t="s">
        <v>2610</v>
      </c>
      <c r="C9" s="20" t="s">
        <v>2611</v>
      </c>
      <c r="D9" s="20" t="s">
        <v>2612</v>
      </c>
      <c r="E9" s="20" t="s">
        <v>2613</v>
      </c>
      <c r="F9" s="20" t="s">
        <v>2614</v>
      </c>
      <c r="G9" s="20" t="s">
        <v>2615</v>
      </c>
      <c r="H9" s="20" t="s">
        <v>2616</v>
      </c>
      <c r="I9" s="20" t="s">
        <v>2617</v>
      </c>
      <c r="J9" s="20" t="s">
        <v>2618</v>
      </c>
      <c r="K9" s="20" t="s">
        <v>2619</v>
      </c>
    </row>
    <row r="10" spans="1:12" x14ac:dyDescent="0.25">
      <c r="A10" s="19" t="s">
        <v>393</v>
      </c>
      <c r="B10" s="20"/>
      <c r="C10" s="20"/>
      <c r="D10" s="20"/>
      <c r="E10" s="20"/>
      <c r="F10" s="20" t="s">
        <v>2620</v>
      </c>
      <c r="G10" s="20" t="s">
        <v>63</v>
      </c>
      <c r="H10" s="20"/>
      <c r="I10" s="20"/>
      <c r="J10" s="20"/>
      <c r="K10" s="20"/>
    </row>
    <row r="11" spans="1:12" x14ac:dyDescent="0.25">
      <c r="A11" s="19" t="s">
        <v>396</v>
      </c>
      <c r="B11" s="20"/>
      <c r="C11" s="20"/>
      <c r="D11" s="20"/>
      <c r="E11" s="20"/>
      <c r="F11" s="20" t="s">
        <v>2621</v>
      </c>
      <c r="G11" s="20" t="s">
        <v>2622</v>
      </c>
      <c r="H11" s="20"/>
      <c r="I11" s="20"/>
      <c r="J11" s="20"/>
      <c r="K11" s="20"/>
    </row>
    <row r="12" spans="1:12" x14ac:dyDescent="0.25">
      <c r="A12" s="19" t="s">
        <v>399</v>
      </c>
      <c r="B12" s="20" t="s">
        <v>63</v>
      </c>
      <c r="C12" s="20" t="s">
        <v>2623</v>
      </c>
      <c r="D12" s="20" t="s">
        <v>2624</v>
      </c>
      <c r="E12" s="20" t="s">
        <v>2625</v>
      </c>
      <c r="F12" s="20" t="s">
        <v>2626</v>
      </c>
      <c r="G12" s="20" t="s">
        <v>2627</v>
      </c>
      <c r="H12" s="44" t="s">
        <v>2628</v>
      </c>
      <c r="I12" s="44" t="s">
        <v>2629</v>
      </c>
      <c r="J12" s="20" t="s">
        <v>63</v>
      </c>
      <c r="K12" s="20" t="s">
        <v>63</v>
      </c>
    </row>
    <row r="13" spans="1:12" x14ac:dyDescent="0.25">
      <c r="A13" s="19" t="s">
        <v>410</v>
      </c>
      <c r="B13" s="20" t="s">
        <v>2630</v>
      </c>
      <c r="C13" s="20" t="s">
        <v>2631</v>
      </c>
      <c r="D13" s="20" t="s">
        <v>2632</v>
      </c>
      <c r="E13" s="20" t="s">
        <v>2633</v>
      </c>
      <c r="F13" s="20" t="s">
        <v>2634</v>
      </c>
      <c r="G13" s="20" t="s">
        <v>2635</v>
      </c>
      <c r="H13" s="44" t="s">
        <v>2636</v>
      </c>
      <c r="I13" s="44" t="s">
        <v>2637</v>
      </c>
      <c r="J13" s="44" t="s">
        <v>2638</v>
      </c>
      <c r="K13" s="20" t="s">
        <v>2639</v>
      </c>
    </row>
    <row r="14" spans="1:12" x14ac:dyDescent="0.25">
      <c r="A14" s="19" t="s">
        <v>420</v>
      </c>
      <c r="B14" s="20" t="s">
        <v>2640</v>
      </c>
      <c r="C14" s="20" t="s">
        <v>2641</v>
      </c>
      <c r="D14" s="20" t="s">
        <v>2642</v>
      </c>
      <c r="E14" s="20" t="s">
        <v>2643</v>
      </c>
      <c r="F14" s="20" t="s">
        <v>2644</v>
      </c>
      <c r="G14" s="20" t="s">
        <v>2645</v>
      </c>
      <c r="H14" s="44" t="s">
        <v>2646</v>
      </c>
      <c r="I14" s="44" t="s">
        <v>2647</v>
      </c>
      <c r="J14" s="44" t="s">
        <v>2648</v>
      </c>
      <c r="K14" s="20" t="s">
        <v>2649</v>
      </c>
    </row>
    <row r="15" spans="1:12" x14ac:dyDescent="0.25">
      <c r="A15" s="19" t="s">
        <v>431</v>
      </c>
      <c r="B15" s="20" t="s">
        <v>2650</v>
      </c>
      <c r="C15" s="20" t="s">
        <v>2651</v>
      </c>
      <c r="D15" s="20" t="s">
        <v>2652</v>
      </c>
      <c r="E15" s="20" t="s">
        <v>2653</v>
      </c>
      <c r="F15" s="20"/>
      <c r="G15" s="20"/>
      <c r="H15" s="44" t="s">
        <v>2654</v>
      </c>
      <c r="I15" s="44" t="s">
        <v>2655</v>
      </c>
      <c r="J15" s="44" t="s">
        <v>2656</v>
      </c>
      <c r="K15" s="20" t="s">
        <v>2657</v>
      </c>
    </row>
    <row r="16" spans="1:12" x14ac:dyDescent="0.25">
      <c r="A16" s="19" t="s">
        <v>440</v>
      </c>
      <c r="B16" s="20" t="s">
        <v>2658</v>
      </c>
      <c r="C16" s="20" t="s">
        <v>2659</v>
      </c>
      <c r="D16" s="20" t="s">
        <v>2660</v>
      </c>
      <c r="E16" s="20" t="s">
        <v>2661</v>
      </c>
      <c r="F16" s="20" t="s">
        <v>2662</v>
      </c>
      <c r="G16" s="20" t="s">
        <v>63</v>
      </c>
      <c r="H16" s="44" t="s">
        <v>2663</v>
      </c>
      <c r="I16" s="44" t="s">
        <v>2664</v>
      </c>
      <c r="J16" s="44" t="s">
        <v>2665</v>
      </c>
      <c r="K16" s="20" t="s">
        <v>2666</v>
      </c>
    </row>
    <row r="17" spans="1:11" x14ac:dyDescent="0.25">
      <c r="A17" s="19" t="s">
        <v>451</v>
      </c>
      <c r="B17" s="20" t="s">
        <v>2667</v>
      </c>
      <c r="C17" s="20" t="s">
        <v>2668</v>
      </c>
      <c r="D17" s="20" t="s">
        <v>2669</v>
      </c>
      <c r="E17" s="20" t="s">
        <v>2670</v>
      </c>
      <c r="F17" s="20"/>
      <c r="G17" s="20"/>
      <c r="H17" s="44" t="s">
        <v>2671</v>
      </c>
      <c r="I17" s="44" t="s">
        <v>2672</v>
      </c>
      <c r="J17" s="20" t="s">
        <v>63</v>
      </c>
      <c r="K17" s="20" t="s">
        <v>2673</v>
      </c>
    </row>
    <row r="18" spans="1:11" x14ac:dyDescent="0.25">
      <c r="A18" s="19" t="s">
        <v>460</v>
      </c>
      <c r="B18" s="20" t="s">
        <v>2674</v>
      </c>
      <c r="C18" s="20" t="s">
        <v>63</v>
      </c>
      <c r="D18" s="20" t="s">
        <v>2675</v>
      </c>
      <c r="E18" s="20" t="s">
        <v>2676</v>
      </c>
      <c r="F18" s="20"/>
      <c r="G18" s="20"/>
      <c r="H18" s="44" t="s">
        <v>2677</v>
      </c>
      <c r="I18" s="20" t="s">
        <v>63</v>
      </c>
      <c r="J18" s="44" t="s">
        <v>2678</v>
      </c>
      <c r="K18" s="20" t="s">
        <v>2679</v>
      </c>
    </row>
    <row r="19" spans="1:11" x14ac:dyDescent="0.25">
      <c r="A19" s="65" t="s">
        <v>3079</v>
      </c>
      <c r="B19" s="20" t="s">
        <v>2680</v>
      </c>
      <c r="C19" s="20" t="s">
        <v>2681</v>
      </c>
      <c r="D19" s="20" t="s">
        <v>2682</v>
      </c>
      <c r="E19" s="20" t="s">
        <v>63</v>
      </c>
      <c r="F19" s="20"/>
      <c r="G19" s="20"/>
      <c r="H19" s="44" t="s">
        <v>2683</v>
      </c>
      <c r="I19" s="44" t="s">
        <v>2684</v>
      </c>
      <c r="J19" s="44" t="s">
        <v>2685</v>
      </c>
      <c r="K19" s="20" t="s">
        <v>2686</v>
      </c>
    </row>
    <row r="20" spans="1:11" x14ac:dyDescent="0.25">
      <c r="A20" s="19" t="s">
        <v>475</v>
      </c>
      <c r="B20" s="20" t="s">
        <v>2687</v>
      </c>
      <c r="C20" s="20" t="s">
        <v>2688</v>
      </c>
      <c r="D20" s="20" t="s">
        <v>2689</v>
      </c>
      <c r="E20" s="20" t="s">
        <v>2690</v>
      </c>
      <c r="F20" s="20" t="s">
        <v>63</v>
      </c>
      <c r="G20" s="20" t="s">
        <v>2691</v>
      </c>
      <c r="H20" s="20" t="s">
        <v>2692</v>
      </c>
      <c r="I20" s="20" t="s">
        <v>2693</v>
      </c>
      <c r="J20" s="20" t="s">
        <v>2694</v>
      </c>
      <c r="K20" s="20" t="s">
        <v>2695</v>
      </c>
    </row>
    <row r="21" spans="1:11" x14ac:dyDescent="0.25">
      <c r="A21" s="19" t="s">
        <v>481</v>
      </c>
      <c r="B21" s="20" t="s">
        <v>2696</v>
      </c>
      <c r="C21" s="20" t="s">
        <v>2697</v>
      </c>
      <c r="D21" s="20" t="s">
        <v>2698</v>
      </c>
      <c r="E21" s="20" t="s">
        <v>2699</v>
      </c>
      <c r="F21" s="20" t="s">
        <v>2700</v>
      </c>
      <c r="G21" s="20" t="s">
        <v>2701</v>
      </c>
      <c r="H21" s="20" t="s">
        <v>2702</v>
      </c>
      <c r="I21" s="20" t="s">
        <v>2703</v>
      </c>
      <c r="J21" s="20" t="s">
        <v>2704</v>
      </c>
      <c r="K21" s="20" t="s">
        <v>2705</v>
      </c>
    </row>
    <row r="22" spans="1:11" x14ac:dyDescent="0.25">
      <c r="A22" s="19" t="s">
        <v>492</v>
      </c>
      <c r="B22" s="20" t="s">
        <v>2706</v>
      </c>
      <c r="C22" s="20" t="s">
        <v>2707</v>
      </c>
      <c r="D22" s="20" t="s">
        <v>2708</v>
      </c>
      <c r="E22" s="20" t="s">
        <v>2709</v>
      </c>
      <c r="F22" s="20" t="s">
        <v>63</v>
      </c>
      <c r="G22" s="20" t="s">
        <v>2710</v>
      </c>
      <c r="H22" s="20" t="s">
        <v>2711</v>
      </c>
      <c r="I22" s="20" t="s">
        <v>2712</v>
      </c>
      <c r="J22" s="20" t="s">
        <v>2713</v>
      </c>
      <c r="K22" s="20" t="s">
        <v>2714</v>
      </c>
    </row>
    <row r="23" spans="1:11" x14ac:dyDescent="0.25">
      <c r="A23" s="19" t="s">
        <v>501</v>
      </c>
      <c r="B23" s="20"/>
      <c r="C23" s="20"/>
      <c r="D23" s="20"/>
      <c r="E23" s="20"/>
      <c r="F23" s="20" t="s">
        <v>2715</v>
      </c>
      <c r="G23" s="20" t="s">
        <v>2716</v>
      </c>
      <c r="H23" s="20"/>
      <c r="I23" s="20"/>
      <c r="J23" s="20"/>
      <c r="K23" s="20"/>
    </row>
    <row r="24" spans="1:11" x14ac:dyDescent="0.25">
      <c r="A24" s="19" t="s">
        <v>504</v>
      </c>
      <c r="B24" s="20" t="s">
        <v>2717</v>
      </c>
      <c r="C24" s="20" t="s">
        <v>63</v>
      </c>
      <c r="D24" s="20" t="s">
        <v>2718</v>
      </c>
      <c r="E24" s="20" t="s">
        <v>63</v>
      </c>
      <c r="F24" s="20" t="s">
        <v>2719</v>
      </c>
      <c r="G24" s="20" t="s">
        <v>63</v>
      </c>
      <c r="H24" s="20" t="s">
        <v>63</v>
      </c>
      <c r="I24" s="20" t="s">
        <v>63</v>
      </c>
      <c r="J24" s="20" t="s">
        <v>2720</v>
      </c>
      <c r="K24" s="20" t="s">
        <v>63</v>
      </c>
    </row>
    <row r="25" spans="1:11" x14ac:dyDescent="0.25">
      <c r="F25" s="33"/>
    </row>
    <row r="26" spans="1:11" x14ac:dyDescent="0.25">
      <c r="A26" s="19" t="s">
        <v>2566</v>
      </c>
    </row>
    <row r="28" spans="1:11" x14ac:dyDescent="0.25">
      <c r="A28" s="113"/>
      <c r="B28" s="102"/>
      <c r="C28" s="122"/>
      <c r="D28" s="120"/>
    </row>
    <row r="29" spans="1:11" x14ac:dyDescent="0.25">
      <c r="A29" s="117"/>
      <c r="B29" s="20"/>
      <c r="C29" s="20"/>
      <c r="D29" s="20"/>
    </row>
    <row r="30" spans="1:11" x14ac:dyDescent="0.25">
      <c r="A30" s="113"/>
      <c r="B30" s="20"/>
      <c r="C30" s="20"/>
      <c r="D30" s="20"/>
    </row>
    <row r="31" spans="1:11" x14ac:dyDescent="0.25">
      <c r="A31" s="113"/>
      <c r="B31" s="20"/>
      <c r="C31" s="20"/>
      <c r="D31" s="20"/>
    </row>
    <row r="32" spans="1:11" x14ac:dyDescent="0.25">
      <c r="A32" s="113"/>
      <c r="B32" s="20"/>
      <c r="C32" s="20"/>
      <c r="D32" s="20"/>
    </row>
    <row r="33" spans="1:4" x14ac:dyDescent="0.25">
      <c r="A33" s="113"/>
      <c r="B33" s="20"/>
      <c r="C33" s="20"/>
      <c r="D33" s="20"/>
    </row>
    <row r="34" spans="1:4" x14ac:dyDescent="0.25">
      <c r="A34" s="113"/>
      <c r="B34" s="20"/>
      <c r="C34" s="20"/>
      <c r="D34" s="20"/>
    </row>
    <row r="35" spans="1:4" x14ac:dyDescent="0.25">
      <c r="A35" s="113"/>
      <c r="B35" s="102"/>
      <c r="C35" s="102"/>
      <c r="D35" s="102"/>
    </row>
    <row r="36" spans="1:4" x14ac:dyDescent="0.25">
      <c r="A36" s="113"/>
      <c r="B36" s="102"/>
      <c r="C36" s="102"/>
      <c r="D36" s="120"/>
    </row>
    <row r="37" spans="1:4" x14ac:dyDescent="0.25">
      <c r="A37" s="113"/>
      <c r="B37" s="102"/>
      <c r="C37" s="102"/>
      <c r="D37" s="102"/>
    </row>
    <row r="38" spans="1:4" x14ac:dyDescent="0.25">
      <c r="A38" s="113"/>
      <c r="B38" s="120"/>
      <c r="C38" s="102"/>
      <c r="D38" s="102"/>
    </row>
    <row r="39" spans="1:4" x14ac:dyDescent="0.25">
      <c r="A39" s="113"/>
      <c r="B39" s="20"/>
      <c r="C39" s="20"/>
      <c r="D39" s="20"/>
    </row>
    <row r="40" spans="1:4" x14ac:dyDescent="0.25">
      <c r="A40" s="117"/>
      <c r="B40" s="20"/>
      <c r="C40" s="20"/>
      <c r="D40" s="20"/>
    </row>
    <row r="41" spans="1:4" x14ac:dyDescent="0.25">
      <c r="A41" s="113"/>
      <c r="B41" s="20"/>
      <c r="C41" s="20"/>
      <c r="D41" s="20"/>
    </row>
    <row r="42" spans="1:4" x14ac:dyDescent="0.25">
      <c r="A42" s="113"/>
      <c r="B42" s="20"/>
      <c r="C42" s="20"/>
      <c r="D42" s="20"/>
    </row>
    <row r="43" spans="1:4" x14ac:dyDescent="0.25">
      <c r="A43" s="113"/>
      <c r="B43" s="20"/>
      <c r="C43" s="20"/>
      <c r="D43" s="20"/>
    </row>
    <row r="44" spans="1:4" x14ac:dyDescent="0.25">
      <c r="A44" s="113"/>
      <c r="B44" s="20"/>
      <c r="C44" s="20"/>
      <c r="D44" s="20"/>
    </row>
    <row r="45" spans="1:4" x14ac:dyDescent="0.25">
      <c r="A45" s="117"/>
      <c r="B45" s="20"/>
      <c r="C45" s="20"/>
      <c r="D45" s="20"/>
    </row>
    <row r="46" spans="1:4" x14ac:dyDescent="0.25">
      <c r="A46" s="113"/>
      <c r="B46" s="20"/>
      <c r="C46" s="20"/>
      <c r="D46" s="20"/>
    </row>
    <row r="47" spans="1:4" x14ac:dyDescent="0.25">
      <c r="A47" s="113"/>
      <c r="B47" s="20"/>
      <c r="C47" s="20"/>
      <c r="D47" s="20"/>
    </row>
    <row r="48" spans="1:4" x14ac:dyDescent="0.25">
      <c r="A48" s="113"/>
      <c r="B48" s="20"/>
      <c r="C48" s="20"/>
      <c r="D48" s="20"/>
    </row>
    <row r="49" spans="1:4" x14ac:dyDescent="0.25">
      <c r="A49" s="113"/>
      <c r="B49" s="20"/>
      <c r="C49" s="20"/>
      <c r="D49" s="20"/>
    </row>
    <row r="50" spans="1:4" x14ac:dyDescent="0.25">
      <c r="A50" s="20"/>
    </row>
    <row r="51" spans="1:4" x14ac:dyDescent="0.25">
      <c r="B51" s="20"/>
      <c r="C51" s="20"/>
      <c r="D51" s="20"/>
    </row>
    <row r="52" spans="1:4" x14ac:dyDescent="0.25">
      <c r="A52" s="116"/>
    </row>
  </sheetData>
  <mergeCells count="5">
    <mergeCell ref="J2:K2"/>
    <mergeCell ref="B2:C2"/>
    <mergeCell ref="D2:E2"/>
    <mergeCell ref="F2:G2"/>
    <mergeCell ref="H2:I2"/>
  </mergeCells>
  <pageMargins left="0.25" right="0.25" top="0.75" bottom="0.75" header="0.3" footer="0.3"/>
  <pageSetup scale="76" orientation="landscape" horizontalDpi="1200" verticalDpi="12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A672C-4093-4C42-8293-B8A2448A4678}">
  <sheetPr>
    <pageSetUpPr fitToPage="1"/>
  </sheetPr>
  <dimension ref="A1:D38"/>
  <sheetViews>
    <sheetView workbookViewId="0">
      <selection activeCell="A38" sqref="A38"/>
    </sheetView>
  </sheetViews>
  <sheetFormatPr defaultRowHeight="15" x14ac:dyDescent="0.25"/>
  <cols>
    <col min="1" max="1" width="35.140625" style="161" customWidth="1"/>
    <col min="2" max="4" width="29.5703125" customWidth="1"/>
  </cols>
  <sheetData>
    <row r="1" spans="1:4" x14ac:dyDescent="0.25">
      <c r="A1" s="65" t="s">
        <v>3075</v>
      </c>
    </row>
    <row r="2" spans="1:4" x14ac:dyDescent="0.25">
      <c r="A2" s="18"/>
      <c r="B2" s="190" t="s">
        <v>2721</v>
      </c>
      <c r="C2" s="190"/>
      <c r="D2" s="190"/>
    </row>
    <row r="3" spans="1:4" ht="15.75" thickBot="1" x14ac:dyDescent="0.3">
      <c r="A3"/>
      <c r="B3" s="123" t="s">
        <v>2722</v>
      </c>
      <c r="C3" s="123" t="s">
        <v>2723</v>
      </c>
      <c r="D3" s="123" t="s">
        <v>123</v>
      </c>
    </row>
    <row r="4" spans="1:4" x14ac:dyDescent="0.25">
      <c r="A4" s="162" t="s">
        <v>2724</v>
      </c>
      <c r="B4" s="20">
        <v>15172</v>
      </c>
      <c r="C4" s="20">
        <v>28255</v>
      </c>
      <c r="D4" s="20">
        <v>6568577</v>
      </c>
    </row>
    <row r="5" spans="1:4" x14ac:dyDescent="0.25">
      <c r="A5" s="163" t="s">
        <v>2725</v>
      </c>
      <c r="B5" s="20">
        <v>5</v>
      </c>
      <c r="C5" s="20">
        <v>4</v>
      </c>
      <c r="D5" s="20">
        <v>37</v>
      </c>
    </row>
    <row r="6" spans="1:4" x14ac:dyDescent="0.25">
      <c r="A6" s="164" t="s">
        <v>2726</v>
      </c>
      <c r="B6" s="20" t="s">
        <v>2727</v>
      </c>
      <c r="C6" s="20" t="s">
        <v>2728</v>
      </c>
      <c r="D6" s="20" t="s">
        <v>223</v>
      </c>
    </row>
    <row r="7" spans="1:4" x14ac:dyDescent="0.25">
      <c r="A7" s="164" t="s">
        <v>17</v>
      </c>
      <c r="B7" s="102">
        <v>0.57487500000000002</v>
      </c>
      <c r="C7" s="102">
        <v>0.55161899999999997</v>
      </c>
      <c r="D7" s="102">
        <v>0.56487200000000004</v>
      </c>
    </row>
    <row r="8" spans="1:4" x14ac:dyDescent="0.25">
      <c r="A8" s="164" t="s">
        <v>2729</v>
      </c>
      <c r="B8" s="102"/>
      <c r="C8" s="102"/>
      <c r="D8" s="102"/>
    </row>
    <row r="9" spans="1:4" x14ac:dyDescent="0.25">
      <c r="A9" s="164" t="s">
        <v>2730</v>
      </c>
      <c r="B9" s="102">
        <v>0.76553800000000005</v>
      </c>
      <c r="C9" s="102">
        <v>0.49477710000000003</v>
      </c>
      <c r="D9" s="102">
        <v>0.78888510000000001</v>
      </c>
    </row>
    <row r="10" spans="1:4" x14ac:dyDescent="0.25">
      <c r="A10" s="164" t="s">
        <v>2731</v>
      </c>
      <c r="B10" s="102">
        <v>0.23151730000000001</v>
      </c>
      <c r="C10" s="102">
        <v>0.42225879999999999</v>
      </c>
      <c r="D10" s="120">
        <v>8.9847200000000002E-2</v>
      </c>
    </row>
    <row r="11" spans="1:4" x14ac:dyDescent="0.25">
      <c r="A11" s="164" t="s">
        <v>2732</v>
      </c>
      <c r="B11" s="102">
        <v>0</v>
      </c>
      <c r="C11" s="120">
        <v>5.7084200000000002E-2</v>
      </c>
      <c r="D11" s="120">
        <v>4.8428800000000001E-2</v>
      </c>
    </row>
    <row r="12" spans="1:4" x14ac:dyDescent="0.25">
      <c r="A12" s="164" t="s">
        <v>2733</v>
      </c>
      <c r="B12" s="121">
        <v>6.177E-4</v>
      </c>
      <c r="C12" s="120">
        <v>2.38547E-2</v>
      </c>
      <c r="D12" s="120">
        <v>2.5219200000000001E-2</v>
      </c>
    </row>
    <row r="13" spans="1:4" x14ac:dyDescent="0.25">
      <c r="A13" s="164" t="s">
        <v>3162</v>
      </c>
      <c r="B13" s="102">
        <v>0</v>
      </c>
      <c r="C13" s="122">
        <v>3.1094E-3</v>
      </c>
      <c r="D13" s="120">
        <v>4.7536200000000001E-2</v>
      </c>
    </row>
    <row r="14" spans="1:4" x14ac:dyDescent="0.25">
      <c r="A14" s="163" t="s">
        <v>2734</v>
      </c>
      <c r="B14" s="20"/>
      <c r="C14" s="20"/>
      <c r="D14" s="20"/>
    </row>
    <row r="15" spans="1:4" x14ac:dyDescent="0.25">
      <c r="A15" s="164" t="s">
        <v>2735</v>
      </c>
      <c r="B15" s="20" t="s">
        <v>2736</v>
      </c>
      <c r="C15" s="20" t="s">
        <v>138</v>
      </c>
      <c r="D15" s="20" t="s">
        <v>47</v>
      </c>
    </row>
    <row r="16" spans="1:4" x14ac:dyDescent="0.25">
      <c r="A16" s="164" t="s">
        <v>2737</v>
      </c>
      <c r="B16" s="20" t="s">
        <v>57</v>
      </c>
      <c r="C16" s="20" t="s">
        <v>99</v>
      </c>
      <c r="D16" s="20" t="s">
        <v>44</v>
      </c>
    </row>
    <row r="17" spans="1:4" x14ac:dyDescent="0.25">
      <c r="A17" s="164" t="s">
        <v>2738</v>
      </c>
      <c r="B17" s="20" t="s">
        <v>58</v>
      </c>
      <c r="C17" s="20" t="s">
        <v>111</v>
      </c>
      <c r="D17" s="20" t="s">
        <v>45</v>
      </c>
    </row>
    <row r="18" spans="1:4" x14ac:dyDescent="0.25">
      <c r="A18" s="164" t="s">
        <v>2739</v>
      </c>
      <c r="B18" s="20" t="s">
        <v>59</v>
      </c>
      <c r="C18" s="20" t="s">
        <v>59</v>
      </c>
      <c r="D18" s="20" t="s">
        <v>46</v>
      </c>
    </row>
    <row r="19" spans="1:4" ht="17.25" x14ac:dyDescent="0.25">
      <c r="A19" s="164" t="s">
        <v>3163</v>
      </c>
      <c r="B19" s="20" t="s">
        <v>61</v>
      </c>
      <c r="C19" s="20" t="s">
        <v>48</v>
      </c>
      <c r="D19" s="20" t="s">
        <v>48</v>
      </c>
    </row>
    <row r="20" spans="1:4" x14ac:dyDescent="0.25">
      <c r="A20" s="164" t="s">
        <v>27</v>
      </c>
      <c r="B20" s="102">
        <v>0.106973</v>
      </c>
      <c r="C20" s="102">
        <v>0.163688</v>
      </c>
      <c r="D20" s="102">
        <v>0.115559</v>
      </c>
    </row>
    <row r="21" spans="1:4" x14ac:dyDescent="0.25">
      <c r="A21" s="164" t="s">
        <v>28</v>
      </c>
      <c r="B21" s="102">
        <v>0.14974950000000001</v>
      </c>
      <c r="C21" s="102">
        <v>0.14376220000000001</v>
      </c>
      <c r="D21" s="120">
        <v>5.3146199999999998E-2</v>
      </c>
    </row>
    <row r="22" spans="1:4" x14ac:dyDescent="0.25">
      <c r="A22" s="164" t="s">
        <v>2740</v>
      </c>
      <c r="B22" s="102">
        <v>0.31096800000000002</v>
      </c>
      <c r="C22" s="102">
        <v>0.48908200000000002</v>
      </c>
      <c r="D22" s="102">
        <v>0.25598500000000002</v>
      </c>
    </row>
    <row r="23" spans="1:4" x14ac:dyDescent="0.25">
      <c r="A23" s="164" t="s">
        <v>2741</v>
      </c>
      <c r="B23" s="120">
        <v>6.5515000000000004E-2</v>
      </c>
      <c r="C23" s="102">
        <v>0.20526900000000001</v>
      </c>
      <c r="D23" s="102">
        <v>0.15246100000000001</v>
      </c>
    </row>
    <row r="24" spans="1:4" ht="17.25" x14ac:dyDescent="0.25">
      <c r="A24" s="164" t="s">
        <v>3076</v>
      </c>
      <c r="B24" s="20" t="s">
        <v>2742</v>
      </c>
      <c r="C24" s="20" t="s">
        <v>2743</v>
      </c>
      <c r="D24" s="20" t="s">
        <v>49</v>
      </c>
    </row>
    <row r="25" spans="1:4" x14ac:dyDescent="0.25">
      <c r="A25" s="163" t="s">
        <v>2744</v>
      </c>
      <c r="B25" s="20"/>
      <c r="C25" s="20"/>
      <c r="D25" s="20"/>
    </row>
    <row r="26" spans="1:4" x14ac:dyDescent="0.25">
      <c r="A26" s="164" t="s">
        <v>3164</v>
      </c>
      <c r="B26" s="20" t="s">
        <v>2745</v>
      </c>
      <c r="C26" s="20" t="s">
        <v>2746</v>
      </c>
      <c r="D26" s="20" t="s">
        <v>51</v>
      </c>
    </row>
    <row r="27" spans="1:4" x14ac:dyDescent="0.25">
      <c r="A27" s="164" t="s">
        <v>3077</v>
      </c>
      <c r="B27" s="20" t="s">
        <v>2747</v>
      </c>
      <c r="C27" s="20" t="s">
        <v>2748</v>
      </c>
      <c r="D27" s="20" t="s">
        <v>2749</v>
      </c>
    </row>
    <row r="28" spans="1:4" x14ac:dyDescent="0.25">
      <c r="A28" s="164" t="s">
        <v>3078</v>
      </c>
      <c r="B28" s="20" t="s">
        <v>2747</v>
      </c>
      <c r="C28" s="20" t="s">
        <v>2750</v>
      </c>
      <c r="D28" s="20" t="s">
        <v>2751</v>
      </c>
    </row>
    <row r="29" spans="1:4" x14ac:dyDescent="0.25">
      <c r="A29" s="164" t="s">
        <v>3166</v>
      </c>
      <c r="B29" s="20" t="s">
        <v>2747</v>
      </c>
      <c r="C29" s="20" t="s">
        <v>2747</v>
      </c>
      <c r="D29" s="20" t="s">
        <v>2752</v>
      </c>
    </row>
    <row r="30" spans="1:4" x14ac:dyDescent="0.25">
      <c r="A30" s="163" t="s">
        <v>2753</v>
      </c>
      <c r="B30" s="20"/>
      <c r="C30" s="20"/>
      <c r="D30" s="20"/>
    </row>
    <row r="31" spans="1:4" x14ac:dyDescent="0.25">
      <c r="A31" s="164" t="s">
        <v>2754</v>
      </c>
      <c r="B31" s="20" t="s">
        <v>2755</v>
      </c>
      <c r="C31" s="20" t="s">
        <v>2756</v>
      </c>
      <c r="D31" s="20" t="s">
        <v>2757</v>
      </c>
    </row>
    <row r="32" spans="1:4" x14ac:dyDescent="0.25">
      <c r="A32" s="164" t="s">
        <v>2758</v>
      </c>
      <c r="B32" s="20">
        <v>4251</v>
      </c>
      <c r="C32" s="20">
        <v>4005</v>
      </c>
      <c r="D32" s="20">
        <v>203259</v>
      </c>
    </row>
    <row r="33" spans="1:4" x14ac:dyDescent="0.25">
      <c r="A33" s="164" t="s">
        <v>2759</v>
      </c>
      <c r="B33" s="20">
        <v>2956</v>
      </c>
      <c r="C33" s="20">
        <v>3025</v>
      </c>
      <c r="D33" s="20">
        <v>128424</v>
      </c>
    </row>
    <row r="34" spans="1:4" x14ac:dyDescent="0.25">
      <c r="A34" s="164" t="s">
        <v>2760</v>
      </c>
      <c r="B34" s="20">
        <v>2496</v>
      </c>
      <c r="C34" s="20">
        <v>1404</v>
      </c>
      <c r="D34" s="20">
        <v>111416</v>
      </c>
    </row>
    <row r="35" spans="1:4" ht="15.75" thickBot="1" x14ac:dyDescent="0.3">
      <c r="A35" s="165" t="s">
        <v>2761</v>
      </c>
      <c r="B35" s="20">
        <v>6535</v>
      </c>
      <c r="C35" s="20">
        <v>6960</v>
      </c>
      <c r="D35" s="20">
        <v>311029</v>
      </c>
    </row>
    <row r="37" spans="1:4" x14ac:dyDescent="0.25">
      <c r="A37" s="189" t="s">
        <v>3165</v>
      </c>
    </row>
    <row r="38" spans="1:4" x14ac:dyDescent="0.25">
      <c r="A38" s="189" t="s">
        <v>3167</v>
      </c>
    </row>
  </sheetData>
  <mergeCells count="1">
    <mergeCell ref="B2:D2"/>
  </mergeCells>
  <pageMargins left="0.25" right="0.25" top="0.75" bottom="0.75" header="0.3" footer="0.3"/>
  <pageSetup scale="98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Table of Contents</vt:lpstr>
      <vt:lpstr>TableS1</vt:lpstr>
      <vt:lpstr>Table S2A</vt:lpstr>
      <vt:lpstr>Table S2B</vt:lpstr>
      <vt:lpstr>Table S3</vt:lpstr>
      <vt:lpstr>Table S4</vt:lpstr>
      <vt:lpstr>Table S5A</vt:lpstr>
      <vt:lpstr>Table S5B</vt:lpstr>
      <vt:lpstr>Table S5C</vt:lpstr>
      <vt:lpstr>Table S5D</vt:lpstr>
      <vt:lpstr>Table S6</vt:lpstr>
      <vt:lpstr>Table S7</vt:lpstr>
      <vt:lpstr>Table S8</vt:lpstr>
      <vt:lpstr>Table S9</vt:lpstr>
      <vt:lpstr>Table S10</vt:lpstr>
      <vt:lpstr>TableS11</vt:lpstr>
      <vt:lpstr>Table S12A Base 10yr</vt:lpstr>
      <vt:lpstr>Table S12B ACR 10yr</vt:lpstr>
      <vt:lpstr>Table S12C A1c 10yr</vt:lpstr>
      <vt:lpstr>Table S12D SDI 10yr</vt:lpstr>
      <vt:lpstr>Table S12E Full 10yr</vt:lpstr>
      <vt:lpstr>Table S12F Base 30yr</vt:lpstr>
      <vt:lpstr>Table S12G ACR 30yr</vt:lpstr>
      <vt:lpstr>Table S12H A1c 30yr</vt:lpstr>
      <vt:lpstr>Table S12I SDI 30yr</vt:lpstr>
      <vt:lpstr>Table S12J Full 30yr</vt:lpstr>
      <vt:lpstr>Table S13</vt:lpstr>
      <vt:lpstr>Table S14</vt:lpstr>
      <vt:lpstr>Table S15</vt:lpstr>
      <vt:lpstr>Table S16</vt:lpstr>
      <vt:lpstr>Table S17A</vt:lpstr>
      <vt:lpstr>Table S17B</vt:lpstr>
    </vt:vector>
  </TitlesOfParts>
  <Manager/>
  <Company>Johns Hopkins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Shoshana Ballew</dc:creator>
  <cp:keywords/>
  <dc:description/>
  <cp:lastModifiedBy>Ballew, Shoshana</cp:lastModifiedBy>
  <cp:revision/>
  <cp:lastPrinted>2023-11-03T22:00:10Z</cp:lastPrinted>
  <dcterms:created xsi:type="dcterms:W3CDTF">2023-08-10T19:22:41Z</dcterms:created>
  <dcterms:modified xsi:type="dcterms:W3CDTF">2024-01-26T17:28:22Z</dcterms:modified>
  <cp:category/>
  <cp:contentStatus/>
</cp:coreProperties>
</file>