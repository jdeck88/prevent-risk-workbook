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lculator" state="visible" r:id="rId4"/>
    <sheet sheetId="2" name="Sources" state="visible" r:id="rId5"/>
    <sheet sheetId="3" name="Engine" state="hidden" r:id="rId6"/>
    <sheet sheetId="4" name="Coefficients" state="hidden" r:id="rId7"/>
  </sheets>
  <calcPr calcId="171027" fullCalcOnLoad="1"/>
</workbook>
</file>

<file path=xl/sharedStrings.xml><?xml version="1.0" encoding="utf-8"?>
<sst xmlns="http://schemas.openxmlformats.org/spreadsheetml/2006/main" count="227" uniqueCount="178">
  <si>
    <t>AHA PREVENT Excel Calculator</t>
  </si>
  <si>
    <t>Implements the published simplified PREVENT equations from Circulation 149(6):430-449 (February 6, 2024), Supplemental Tables S12A-J.</t>
  </si>
  <si>
    <t>Inputs</t>
  </si>
  <si>
    <t>10-year risk</t>
  </si>
  <si>
    <t>Sex</t>
  </si>
  <si>
    <t>Women</t>
  </si>
  <si>
    <t>Outcome</t>
  </si>
  <si>
    <t>Base</t>
  </si>
  <si>
    <t>UACR</t>
  </si>
  <si>
    <t>HbA1c</t>
  </si>
  <si>
    <t>SDI</t>
  </si>
  <si>
    <t>Full</t>
  </si>
  <si>
    <t>Age, years</t>
  </si>
  <si>
    <t>Total CVD</t>
  </si>
  <si>
    <t>Total cholesterol, mg/dL</t>
  </si>
  <si>
    <t>ASCVD</t>
  </si>
  <si>
    <t>HDL-C, mg/dL</t>
  </si>
  <si>
    <t>Heart Failure</t>
  </si>
  <si>
    <t>Systolic BP, mmHg</t>
  </si>
  <si>
    <t>Coronary Heart Disease</t>
  </si>
  <si>
    <t>Diabetes</t>
  </si>
  <si>
    <t>Yes</t>
  </si>
  <si>
    <t>Stroke</t>
  </si>
  <si>
    <t>Current smoking</t>
  </si>
  <si>
    <t>No</t>
  </si>
  <si>
    <t>BMI, kg/m2</t>
  </si>
  <si>
    <t>eGFR, mL/min/1.73m2</t>
  </si>
  <si>
    <t>30-year risk</t>
  </si>
  <si>
    <t>Anti-hypertension medication</t>
  </si>
  <si>
    <t>Statin use</t>
  </si>
  <si>
    <t>UACR, mg/g (optional)</t>
  </si>
  <si>
    <t>HbA1c, % (optional)</t>
  </si>
  <si>
    <t>SDI decile 1-10 (optional)</t>
  </si>
  <si>
    <t>Use Base when optional predictors are unavailable. Use the UACR, HbA1c, or SDI columns for the corresponding single enhanced model. The Full column includes all three optional predictors and published missing-indicator handling.</t>
  </si>
  <si>
    <t>The PREVENT paper excluded extreme values outside the ranges shown above and reports that Total CVD and ASCVD risks are less than the sum of component outcomes because a person can experience more than one event.</t>
  </si>
  <si>
    <t>Source</t>
  </si>
  <si>
    <t>Details</t>
  </si>
  <si>
    <t>Paper</t>
  </si>
  <si>
    <t>Khan SS, Matsushita K, Sang Y, et al. Development and Validation of the American Heart Association's PREVENT Equations. Circulation. 2024;149(6):430-449. PMID 37947085.</t>
  </si>
  <si>
    <t>PMC article</t>
  </si>
  <si>
    <t>https://pmc.ncbi.nlm.nih.gov/articles/PMC10910659/</t>
  </si>
  <si>
    <t>PubMed</t>
  </si>
  <si>
    <t>https://pubmed.ncbi.nlm.nih.gov/37947085/</t>
  </si>
  <si>
    <t>Supplemental tables</t>
  </si>
  <si>
    <t>https://pmc.ncbi.nlm.nih.gov/articles/instance/10910659/bin/NIHMS1953934-supplement-Supplemental_Tables.xlsx</t>
  </si>
  <si>
    <t>Workbook note</t>
  </si>
  <si>
    <t>This file uses the published simplified regression equations from Supplemental Tables S12A-J. Default inputs are the paper's worked example values.</t>
  </si>
  <si>
    <t>Term</t>
  </si>
  <si>
    <t>Derived value</t>
  </si>
  <si>
    <t>Age per 10 years</t>
  </si>
  <si>
    <t>Age per 10 years squared</t>
  </si>
  <si>
    <t>non-HDL-C per 1 mmol/L</t>
  </si>
  <si>
    <t>HDL-C per 0.3 mmol/L</t>
  </si>
  <si>
    <t>SBP &lt;110 per 20 mmHg</t>
  </si>
  <si>
    <t>SBP ≥110 per 20 mmHg</t>
  </si>
  <si>
    <t>BMI &lt;30, per 5 kg/m2</t>
  </si>
  <si>
    <t>BMI 30+, per 5 kg/m2</t>
  </si>
  <si>
    <t>eGFR &lt;60, per -15 ml</t>
  </si>
  <si>
    <t>eGFR 60+, per -15 ml</t>
  </si>
  <si>
    <t>Anti-hypertensive use</t>
  </si>
  <si>
    <t>Treated SBP ≥110 mm Hg per 20 mm Hg</t>
  </si>
  <si>
    <t>Treated non-HDL-C</t>
  </si>
  <si>
    <t>Age per 10yr * non-HDL-C per 1 mmol/L</t>
  </si>
  <si>
    <t>Age per 10yr * HDL-C per 0.3 mml/L</t>
  </si>
  <si>
    <t>Age per 10yr * SBP ≥110 mm Hg per 20 mmHg</t>
  </si>
  <si>
    <t>Age per 10yr * diabetes</t>
  </si>
  <si>
    <t>Age per 10yr * current smoking</t>
  </si>
  <si>
    <t>Age per 10yr * BMI 30+ per 5 kg/m2</t>
  </si>
  <si>
    <t>Age per 10yr * eGFR &lt;60, per -15 ml</t>
  </si>
  <si>
    <t>SDI decile categories 4-6 vs. 1-3</t>
  </si>
  <si>
    <t>SDI decile categories 7-10 vs. 1-3</t>
  </si>
  <si>
    <t>Missing SDI</t>
  </si>
  <si>
    <t>ln-UACR, mg/g, per 1 ln unit</t>
  </si>
  <si>
    <t>Missing UACR/PCR/Dipstick</t>
  </si>
  <si>
    <t>HbA1c in DM, per 1%</t>
  </si>
  <si>
    <t>HbA1c no DM, per 1%</t>
  </si>
  <si>
    <t>Missing HbA1c</t>
  </si>
  <si>
    <t>Constant</t>
  </si>
  <si>
    <t>Base|10-year|Total CVD|Women</t>
  </si>
  <si>
    <t>Base|10-year|Total CVD|Men</t>
  </si>
  <si>
    <t>Base|10-year|ASCVD|Women</t>
  </si>
  <si>
    <t>Base|10-year|ASCVD|Men</t>
  </si>
  <si>
    <t>Base|10-year|Heart Failure|Women</t>
  </si>
  <si>
    <t>Base|10-year|Heart Failure|Men</t>
  </si>
  <si>
    <t>Base|10-year|Coronary Heart Disease|Women</t>
  </si>
  <si>
    <t>Base|10-year|Coronary Heart Disease|Men</t>
  </si>
  <si>
    <t>Base|10-year|Stroke|Women</t>
  </si>
  <si>
    <t>Base|10-year|Stroke|Men</t>
  </si>
  <si>
    <t>UACR|10-year|Total CVD|Women</t>
  </si>
  <si>
    <t>UACR|10-year|Total CVD|Men</t>
  </si>
  <si>
    <t>UACR|10-year|ASCVD|Women</t>
  </si>
  <si>
    <t>UACR|10-year|ASCVD|Men</t>
  </si>
  <si>
    <t>UACR|10-year|Heart Failure|Women</t>
  </si>
  <si>
    <t>UACR|10-year|Heart Failure|Men</t>
  </si>
  <si>
    <t>UACR|10-year|Coronary Heart Disease|Women</t>
  </si>
  <si>
    <t>UACR|10-year|Coronary Heart Disease|Men</t>
  </si>
  <si>
    <t>UACR|10-year|Stroke|Women</t>
  </si>
  <si>
    <t>UACR|10-year|Stroke|Men</t>
  </si>
  <si>
    <t>HbA1c|10-year|Total CVD|Women</t>
  </si>
  <si>
    <t>HbA1c|10-year|Total CVD|Men</t>
  </si>
  <si>
    <t>HbA1c|10-year|ASCVD|Women</t>
  </si>
  <si>
    <t>HbA1c|10-year|ASCVD|Men</t>
  </si>
  <si>
    <t>HbA1c|10-year|Heart Failure|Women</t>
  </si>
  <si>
    <t>HbA1c|10-year|Heart Failure|Men</t>
  </si>
  <si>
    <t>HbA1c|10-year|Coronary Heart Disease|Women</t>
  </si>
  <si>
    <t>HbA1c|10-year|Coronary Heart Disease|Men</t>
  </si>
  <si>
    <t>HbA1c|10-year|Stroke|Women</t>
  </si>
  <si>
    <t>HbA1c|10-year|Stroke|Men</t>
  </si>
  <si>
    <t>SDI|10-year|Total CVD|Women</t>
  </si>
  <si>
    <t>SDI|10-year|Total CVD|Men</t>
  </si>
  <si>
    <t>SDI|10-year|ASCVD|Women</t>
  </si>
  <si>
    <t>SDI|10-year|ASCVD|Men</t>
  </si>
  <si>
    <t>SDI|10-year|Heart Failure|Women</t>
  </si>
  <si>
    <t>SDI|10-year|Heart Failure|Men</t>
  </si>
  <si>
    <t>SDI|10-year|Coronary Heart Disease|Women</t>
  </si>
  <si>
    <t>SDI|10-year|Coronary Heart Disease|Men</t>
  </si>
  <si>
    <t>SDI|10-year|Stroke|Women</t>
  </si>
  <si>
    <t>SDI|10-year|Stroke|Men</t>
  </si>
  <si>
    <t>Full|10-year|Total CVD|Women</t>
  </si>
  <si>
    <t>Full|10-year|Total CVD|Men</t>
  </si>
  <si>
    <t>Full|10-year|ASCVD|Women</t>
  </si>
  <si>
    <t>Full|10-year|ASCVD|Men</t>
  </si>
  <si>
    <t>Full|10-year|Heart Failure|Women</t>
  </si>
  <si>
    <t>Full|10-year|Heart Failure|Men</t>
  </si>
  <si>
    <t>Full|10-year|Coronary Heart Disease|Women</t>
  </si>
  <si>
    <t>Full|10-year|Coronary Heart Disease|Men</t>
  </si>
  <si>
    <t>Full|10-year|Stroke|Women</t>
  </si>
  <si>
    <t>Full|10-year|Stroke|Men</t>
  </si>
  <si>
    <t>Base|30-year|Total CVD|Women</t>
  </si>
  <si>
    <t>Base|30-year|Total CVD|Men</t>
  </si>
  <si>
    <t>Base|30-year|ASCVD|Women</t>
  </si>
  <si>
    <t>Base|30-year|ASCVD|Men</t>
  </si>
  <si>
    <t>Base|30-year|Heart Failure|Women</t>
  </si>
  <si>
    <t>Base|30-year|Heart Failure|Men</t>
  </si>
  <si>
    <t>Base|30-year|Coronary Heart Disease|Women</t>
  </si>
  <si>
    <t>Base|30-year|Coronary Heart Disease|Men</t>
  </si>
  <si>
    <t>Base|30-year|Stroke|Women</t>
  </si>
  <si>
    <t>Base|30-year|Stroke|Men</t>
  </si>
  <si>
    <t>UACR|30-year|Total CVD|Women</t>
  </si>
  <si>
    <t>UACR|30-year|Total CVD|Men</t>
  </si>
  <si>
    <t>UACR|30-year|ASCVD|Women</t>
  </si>
  <si>
    <t>UACR|30-year|ASCVD|Men</t>
  </si>
  <si>
    <t>UACR|30-year|Heart Failure|Women</t>
  </si>
  <si>
    <t>UACR|30-year|Heart Failure|Men</t>
  </si>
  <si>
    <t>UACR|30-year|Coronary Heart Disease|Women</t>
  </si>
  <si>
    <t>UACR|30-year|Coronary Heart Disease|Men</t>
  </si>
  <si>
    <t>UACR|30-year|Stroke|Women</t>
  </si>
  <si>
    <t>UACR|30-year|Stroke|Men</t>
  </si>
  <si>
    <t>HbA1c|30-year|Total CVD|Women</t>
  </si>
  <si>
    <t>HbA1c|30-year|Total CVD|Men</t>
  </si>
  <si>
    <t>HbA1c|30-year|ASCVD|Women</t>
  </si>
  <si>
    <t>HbA1c|30-year|ASCVD|Men</t>
  </si>
  <si>
    <t>HbA1c|30-year|Heart Failure|Women</t>
  </si>
  <si>
    <t>HbA1c|30-year|Heart Failure|Men</t>
  </si>
  <si>
    <t>HbA1c|30-year|Coronary Heart Disease|Women</t>
  </si>
  <si>
    <t>HbA1c|30-year|Coronary Heart Disease|Men</t>
  </si>
  <si>
    <t>HbA1c|30-year|Stroke|Women</t>
  </si>
  <si>
    <t>HbA1c|30-year|Stroke|Men</t>
  </si>
  <si>
    <t>SDI|30-year|Total CVD|Women</t>
  </si>
  <si>
    <t>SDI|30-year|Total CVD|Men</t>
  </si>
  <si>
    <t>SDI|30-year|ASCVD|Women</t>
  </si>
  <si>
    <t>SDI|30-year|ASCVD|Men</t>
  </si>
  <si>
    <t>SDI|30-year|Heart Failure|Women</t>
  </si>
  <si>
    <t>SDI|30-year|Heart Failure|Men</t>
  </si>
  <si>
    <t>SDI|30-year|Coronary Heart Disease|Women</t>
  </si>
  <si>
    <t>SDI|30-year|Coronary Heart Disease|Men</t>
  </si>
  <si>
    <t>SDI|30-year|Stroke|Women</t>
  </si>
  <si>
    <t>SDI|30-year|Stroke|Men</t>
  </si>
  <si>
    <t>Full|30-year|Total CVD|Women</t>
  </si>
  <si>
    <t>Full|30-year|Total CVD|Men</t>
  </si>
  <si>
    <t>Full|30-year|ASCVD|Women</t>
  </si>
  <si>
    <t>Full|30-year|ASCVD|Men</t>
  </si>
  <si>
    <t>Full|30-year|Heart Failure|Women</t>
  </si>
  <si>
    <t>Full|30-year|Heart Failure|Men</t>
  </si>
  <si>
    <t>Full|30-year|Coronary Heart Disease|Women</t>
  </si>
  <si>
    <t>Full|30-year|Coronary Heart Disease|Men</t>
  </si>
  <si>
    <t>Full|30-year|Stroke|Women</t>
  </si>
  <si>
    <t>Full|30-year|Stroke|Men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</si>
</sst>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sz val="16"/>
    </font>
    <font>
      <i/>
      <color rgb="FF555555"/>
    </font>
    <font>
      <b/>
      <sz val="12"/>
    </font>
    <font>
      <b/>
    </font>
    <font>
      <u/>
      <color rgb="FF0563C1"/>
    </font>
  </fonts>
  <fills count="4">
    <fill>
      <patternFill patternType="none"/>
    </fill>
    <fill>
      <patternFill patternType="gray125"/>
    </fill>
    <fill>
      <patternFill patternType="solid">
        <fgColor rgb="FFD9EAF7"/>
      </patternFill>
    </fill>
    <fill>
      <patternFill patternType="solid">
        <fgColor rgb="FFEAF4FB"/>
      </patternFill>
    </fill>
  </fills>
  <borders count="2">
    <border>
      <left/>
      <right/>
      <top/>
      <bottom/>
      <diagonal/>
    </border>
    <border>
      <left/>
      <right/>
      <top/>
      <bottom style="hair">
        <color rgb="FFE3E3E3"/>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xf numFmtId="0" fontId="0" fillId="0" borderId="1" xfId="0" applyBorder="1"/>
    <xf numFmtId="0" fontId="4" fillId="3" borderId="1" xfId="0" applyFont="1" applyFill="1" applyBorder="1"/>
    <xf numFmtId="164" fontId="0" fillId="0" borderId="0" xfId="0" applyNumberFormat="1" applyAlignment="1">
      <alignment horizontal="center"/>
    </xf>
    <xf numFmtId="0" fontId="3" fillId="2" borderId="1" xfId="0" applyFont="1" applyFill="1" applyBorder="1"/>
    <xf numFmtId="0" fontId="2" fillId="0" borderId="0" xfId="0" applyFont="1"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pane xSplit="3" ySplit="4" topLeftCell="D5" activePane="bottomRight" state="frozen"/>
      <selection pane="bottomRight"/>
    </sheetView>
  </sheetViews>
  <sheetFormatPr defaultRowHeight="15" outlineLevelRow="0" outlineLevelCol="0" x14ac:dyDescent="55"/>
  <cols>
    <col min="1" max="1" width="34" customWidth="1"/>
    <col min="2" max="2" width="16" customWidth="1"/>
    <col min="3" max="3" width="18" customWidth="1"/>
    <col min="4" max="4" width="24" customWidth="1"/>
    <col min="5" max="5" width="16" customWidth="1"/>
    <col min="6" max="9" width="12" customWidth="1"/>
  </cols>
  <sheetData>
    <row r="1" spans="1:9" x14ac:dyDescent="0.25">
      <c r="A1" s="1" t="s">
        <v>0</v>
      </c>
      <c r="B1" s="1"/>
      <c r="C1" s="1"/>
      <c r="D1" s="1"/>
      <c r="E1" s="1"/>
      <c r="F1" s="1"/>
      <c r="G1" s="1"/>
      <c r="H1" s="1"/>
      <c r="I1" s="1"/>
    </row>
    <row r="2" spans="1:9" x14ac:dyDescent="0.25">
      <c r="A2" s="2" t="s">
        <v>1</v>
      </c>
      <c r="B2" s="2"/>
      <c r="C2" s="2"/>
      <c r="D2" s="2"/>
      <c r="E2" s="2"/>
      <c r="F2" s="2"/>
      <c r="G2" s="2"/>
      <c r="H2" s="2"/>
      <c r="I2" s="2"/>
    </row>
    <row r="4" spans="1:4" x14ac:dyDescent="0.25">
      <c r="A4" s="3" t="s">
        <v>2</v>
      </c>
      <c r="D4" s="3" t="s">
        <v>3</v>
      </c>
    </row>
    <row r="5" spans="1:9" x14ac:dyDescent="0.25">
      <c r="A5" s="4" t="s">
        <v>4</v>
      </c>
      <c r="B5" s="4" t="s">
        <v>5</v>
      </c>
      <c r="D5" s="5" t="s">
        <v>6</v>
      </c>
      <c r="E5" s="5" t="s">
        <v>7</v>
      </c>
      <c r="F5" s="5" t="s">
        <v>8</v>
      </c>
      <c r="G5" s="5" t="s">
        <v>9</v>
      </c>
      <c r="H5" s="5" t="s">
        <v>10</v>
      </c>
      <c r="I5" s="5" t="s">
        <v>11</v>
      </c>
    </row>
    <row r="6" spans="1:9" x14ac:dyDescent="0.25">
      <c r="A6" s="4" t="s">
        <v>12</v>
      </c>
      <c r="B6" s="4">
        <v>50</v>
      </c>
      <c r="D6" s="4" t="s">
        <v>13</v>
      </c>
      <c r="E6" s="6">
        <f>IF($B$5="Women",1/(1+EXP(-SUMPRODUCT(Engine!$B$2:$B$33,INDIRECT("Coefficients!$B$2:$B$33")))),1/(1+EXP(-SUMPRODUCT(Engine!$B$2:$B$33,INDIRECT("Coefficients!$C$2:$C$33")))))</f>
        <v>0.14683939095644824</v>
      </c>
      <c r="F6" s="6">
        <f>IF($B$5="Women",1/(1+EXP(-SUMPRODUCT(Engine!$B$2:$B$33,INDIRECT("Coefficients!$L$2:$L$33")))),1/(1+EXP(-SUMPRODUCT(Engine!$B$2:$B$33,INDIRECT("Coefficients!$M$2:$M$33")))))</f>
        <v>0.15992298123481016</v>
      </c>
      <c r="G6" s="6">
        <f>IF($B$5="Women",1/(1+EXP(-SUMPRODUCT(Engine!$B$2:$B$33,INDIRECT("Coefficients!$V$2:$V$33")))),1/(1+EXP(-SUMPRODUCT(Engine!$B$2:$B$33,INDIRECT("Coefficients!$W$2:$W$33")))))</f>
        <v>0.13586705019403117</v>
      </c>
      <c r="H6" s="6">
        <f>IF($B$5="Women",1/(1+EXP(-SUMPRODUCT(Engine!$B$2:$B$33,INDIRECT("Coefficients!$AF$2:$AF$33")))),1/(1+EXP(-SUMPRODUCT(Engine!$B$2:$B$33,INDIRECT("Coefficients!$AG$2:$AG$33")))))</f>
        <v>0.1565456427896422</v>
      </c>
      <c r="I6" s="6">
        <f>IF($B$5="Women",1/(1+EXP(-SUMPRODUCT(Engine!$B$2:$B$33,INDIRECT("Coefficients!$AP$2:$AP$33")))),1/(1+EXP(-SUMPRODUCT(Engine!$B$2:$B$33,INDIRECT("Coefficients!$AQ$2:$AQ$33")))))</f>
        <v>0.15597624665790258</v>
      </c>
    </row>
    <row r="7" spans="1:9" x14ac:dyDescent="0.25">
      <c r="A7" s="4" t="s">
        <v>14</v>
      </c>
      <c r="B7" s="4">
        <v>200</v>
      </c>
      <c r="D7" s="4" t="s">
        <v>15</v>
      </c>
      <c r="E7" s="6">
        <f>IF($B$5="Women",1/(1+EXP(-SUMPRODUCT(Engine!$B$2:$B$33,INDIRECT("Coefficients!$D$2:$D$33")))),1/(1+EXP(-SUMPRODUCT(Engine!$B$2:$B$33,INDIRECT("Coefficients!$E$2:$E$33")))))</f>
        <v>0.09195089753632874</v>
      </c>
      <c r="F7" s="6">
        <f>IF($B$5="Women",1/(1+EXP(-SUMPRODUCT(Engine!$B$2:$B$33,INDIRECT("Coefficients!$N$2:$N$33")))),1/(1+EXP(-SUMPRODUCT(Engine!$B$2:$B$33,INDIRECT("Coefficients!$O$2:$O$33")))))</f>
        <v>0.09944272308807872</v>
      </c>
      <c r="G7" s="6">
        <f>IF($B$5="Women",1/(1+EXP(-SUMPRODUCT(Engine!$B$2:$B$33,INDIRECT("Coefficients!$X$2:$X$33")))),1/(1+EXP(-SUMPRODUCT(Engine!$B$2:$B$33,INDIRECT("Coefficients!$Y$2:$Y$33")))))</f>
        <v>0.08349803993883279</v>
      </c>
      <c r="H7" s="6">
        <f>IF($B$5="Women",1/(1+EXP(-SUMPRODUCT(Engine!$B$2:$B$33,INDIRECT("Coefficients!$AH$2:$AH$33")))),1/(1+EXP(-SUMPRODUCT(Engine!$B$2:$B$33,INDIRECT("Coefficients!$AI$2:$AI$33")))))</f>
        <v>0.10034803473666952</v>
      </c>
      <c r="I7" s="6">
        <f>IF($B$5="Women",1/(1+EXP(-SUMPRODUCT(Engine!$B$2:$B$33,INDIRECT("Coefficients!$AR$2:$AR$33")))),1/(1+EXP(-SUMPRODUCT(Engine!$B$2:$B$33,INDIRECT("Coefficients!$AS$2:$AS$33")))))</f>
        <v>0.09638939920734978</v>
      </c>
    </row>
    <row r="8" spans="1:9" x14ac:dyDescent="0.25">
      <c r="A8" s="4" t="s">
        <v>16</v>
      </c>
      <c r="B8" s="4">
        <v>45</v>
      </c>
      <c r="D8" s="4" t="s">
        <v>17</v>
      </c>
      <c r="E8" s="6">
        <f>IF($B$5="Women",1/(1+EXP(-SUMPRODUCT(Engine!$B$2:$B$33,INDIRECT("Coefficients!$F$2:$F$33")))),1/(1+EXP(-SUMPRODUCT(Engine!$B$2:$B$33,INDIRECT("Coefficients!$G$2:$G$33")))))</f>
        <v>0.08056096777914257</v>
      </c>
      <c r="F8" s="6">
        <f>IF($B$5="Women",1/(1+EXP(-SUMPRODUCT(Engine!$B$2:$B$33,INDIRECT("Coefficients!$P$2:$P$33")))),1/(1+EXP(-SUMPRODUCT(Engine!$B$2:$B$33,INDIRECT("Coefficients!$Q$2:$Q$33")))))</f>
        <v>0.0893240911620721</v>
      </c>
      <c r="G8" s="6">
        <f>IF($B$5="Women",1/(1+EXP(-SUMPRODUCT(Engine!$B$2:$B$33,INDIRECT("Coefficients!$Z$2:$Z$33")))),1/(1+EXP(-SUMPRODUCT(Engine!$B$2:$B$33,INDIRECT("Coefficients!$AA$2:$AA$33")))))</f>
        <v>0.08056689661287753</v>
      </c>
      <c r="H8" s="6">
        <f>IF($B$5="Women",1/(1+EXP(-SUMPRODUCT(Engine!$B$2:$B$33,INDIRECT("Coefficients!$AJ$2:$AJ$33")))),1/(1+EXP(-SUMPRODUCT(Engine!$B$2:$B$33,INDIRECT("Coefficients!$AK$2:$AK$33")))))</f>
        <v>0.08862750903165648</v>
      </c>
      <c r="I8" s="6">
        <f>IF($B$5="Women",1/(1+EXP(-SUMPRODUCT(Engine!$B$2:$B$33,INDIRECT("Coefficients!$AT$2:$AT$33")))),1/(1+EXP(-SUMPRODUCT(Engine!$B$2:$B$33,INDIRECT("Coefficients!$AU$2:$AU$33")))))</f>
        <v>0.09265294260535863</v>
      </c>
    </row>
    <row r="9" spans="1:9" x14ac:dyDescent="0.25">
      <c r="A9" s="4" t="s">
        <v>18</v>
      </c>
      <c r="B9" s="4">
        <v>160</v>
      </c>
      <c r="D9" s="4" t="s">
        <v>19</v>
      </c>
      <c r="E9" s="6">
        <f>IF($B$5="Women",1/(1+EXP(-SUMPRODUCT(Engine!$B$2:$B$33,INDIRECT("Coefficients!$H$2:$H$33")))),1/(1+EXP(-SUMPRODUCT(Engine!$B$2:$B$33,INDIRECT("Coefficients!$I$2:$I$33")))))</f>
        <v>0.04409666763894401</v>
      </c>
      <c r="F9" s="6">
        <f>IF($B$5="Women",1/(1+EXP(-SUMPRODUCT(Engine!$B$2:$B$33,INDIRECT("Coefficients!$R$2:$R$33")))),1/(1+EXP(-SUMPRODUCT(Engine!$B$2:$B$33,INDIRECT("Coefficients!$S$2:$S$33")))))</f>
        <v>0.04808574158607073</v>
      </c>
      <c r="G9" s="6">
        <f>IF($B$5="Women",1/(1+EXP(-SUMPRODUCT(Engine!$B$2:$B$33,INDIRECT("Coefficients!$AB$2:$AB$33")))),1/(1+EXP(-SUMPRODUCT(Engine!$B$2:$B$33,INDIRECT("Coefficients!$AC$2:$AC$33")))))</f>
        <v>0.04108306816495741</v>
      </c>
      <c r="H9" s="6">
        <f>IF($B$5="Women",1/(1+EXP(-SUMPRODUCT(Engine!$B$2:$B$33,INDIRECT("Coefficients!$AL$2:$AL$33")))),1/(1+EXP(-SUMPRODUCT(Engine!$B$2:$B$33,INDIRECT("Coefficients!$AM$2:$AM$33")))))</f>
        <v>0.04815889193744638</v>
      </c>
      <c r="I9" s="6">
        <f>IF($B$5="Women",1/(1+EXP(-SUMPRODUCT(Engine!$B$2:$B$33,INDIRECT("Coefficients!$AV$2:$AV$33")))),1/(1+EXP(-SUMPRODUCT(Engine!$B$2:$B$33,INDIRECT("Coefficients!$AW$2:$AW$33")))))</f>
        <v>0.04736405897141795</v>
      </c>
    </row>
    <row r="10" spans="1:9" x14ac:dyDescent="0.25">
      <c r="A10" s="4" t="s">
        <v>20</v>
      </c>
      <c r="B10" s="4" t="s">
        <v>21</v>
      </c>
      <c r="D10" s="4" t="s">
        <v>22</v>
      </c>
      <c r="E10" s="6">
        <f>IF($B$5="Women",1/(1+EXP(-SUMPRODUCT(Engine!$B$2:$B$33,INDIRECT("Coefficients!$J$2:$J$33")))),1/(1+EXP(-SUMPRODUCT(Engine!$B$2:$B$33,INDIRECT("Coefficients!$K$2:$K$33")))))</f>
        <v>0.054007794606351675</v>
      </c>
      <c r="F10" s="6">
        <f>IF($B$5="Women",1/(1+EXP(-SUMPRODUCT(Engine!$B$2:$B$33,INDIRECT("Coefficients!$T$2:$T$33")))),1/(1+EXP(-SUMPRODUCT(Engine!$B$2:$B$33,INDIRECT("Coefficients!$U$2:$U$33")))))</f>
        <v>0.058572838843231674</v>
      </c>
      <c r="G10" s="6">
        <f>IF($B$5="Women",1/(1+EXP(-SUMPRODUCT(Engine!$B$2:$B$33,INDIRECT("Coefficients!$AD$2:$AD$33")))),1/(1+EXP(-SUMPRODUCT(Engine!$B$2:$B$33,INDIRECT("Coefficients!$AE$2:$AE$33")))))</f>
        <v>0.04570245682380386</v>
      </c>
      <c r="H10" s="6">
        <f>IF($B$5="Women",1/(1+EXP(-SUMPRODUCT(Engine!$B$2:$B$33,INDIRECT("Coefficients!$AN$2:$AN$33")))),1/(1+EXP(-SUMPRODUCT(Engine!$B$2:$B$33,INDIRECT("Coefficients!$AO$2:$AO$33")))))</f>
        <v>0.05843632432037109</v>
      </c>
      <c r="I10" s="6">
        <f>IF($B$5="Women",1/(1+EXP(-SUMPRODUCT(Engine!$B$2:$B$33,INDIRECT("Coefficients!$AX$2:$AX$33")))),1/(1+EXP(-SUMPRODUCT(Engine!$B$2:$B$33,INDIRECT("Coefficients!$AY$2:$AY$33")))))</f>
        <v>0.05369190874491909</v>
      </c>
    </row>
    <row r="11" spans="1:2" x14ac:dyDescent="0.25">
      <c r="A11" s="4" t="s">
        <v>23</v>
      </c>
      <c r="B11" s="4" t="s">
        <v>24</v>
      </c>
    </row>
    <row r="12" spans="1:2" x14ac:dyDescent="0.25">
      <c r="A12" s="4" t="s">
        <v>25</v>
      </c>
      <c r="B12" s="4">
        <v>35</v>
      </c>
    </row>
    <row r="13" spans="1:4" x14ac:dyDescent="0.25">
      <c r="A13" s="4" t="s">
        <v>26</v>
      </c>
      <c r="B13" s="4">
        <v>90</v>
      </c>
      <c r="D13" s="7" t="s">
        <v>27</v>
      </c>
    </row>
    <row r="14" spans="1:9" x14ac:dyDescent="0.25">
      <c r="A14" s="4" t="s">
        <v>28</v>
      </c>
      <c r="B14" s="4" t="s">
        <v>21</v>
      </c>
      <c r="D14" s="5" t="s">
        <v>6</v>
      </c>
      <c r="E14" s="5" t="s">
        <v>7</v>
      </c>
      <c r="F14" s="5" t="s">
        <v>8</v>
      </c>
      <c r="G14" s="5" t="s">
        <v>9</v>
      </c>
      <c r="H14" s="5" t="s">
        <v>10</v>
      </c>
      <c r="I14" s="5" t="s">
        <v>11</v>
      </c>
    </row>
    <row r="15" spans="1:9" x14ac:dyDescent="0.25">
      <c r="A15" s="4" t="s">
        <v>29</v>
      </c>
      <c r="B15" s="4" t="s">
        <v>24</v>
      </c>
      <c r="D15" s="4" t="s">
        <v>13</v>
      </c>
      <c r="E15" s="6">
        <f>IF($B$5="Women",1/(1+EXP(-SUMPRODUCT(Engine!$B$2:$B$33,INDIRECT("Coefficients!$AZ$2:$AZ$33")))),1/(1+EXP(-SUMPRODUCT(Engine!$B$2:$B$33,INDIRECT("Coefficients!$BA$2:$BA$33")))))</f>
        <v>0.5298503870635785</v>
      </c>
      <c r="F15" s="6">
        <f>IF($B$5="Women",1/(1+EXP(-SUMPRODUCT(Engine!$B$2:$B$33,INDIRECT("Coefficients!$BJ$2:$BJ$33")))),1/(1+EXP(-SUMPRODUCT(Engine!$B$2:$B$33,INDIRECT("Coefficients!$BK$2:$BK$33")))))</f>
        <v>0.5415637333921166</v>
      </c>
      <c r="G15" s="6">
        <f>IF($B$5="Women",1/(1+EXP(-SUMPRODUCT(Engine!$B$2:$B$33,INDIRECT("Coefficients!$BT$2:$BT$33")))),1/(1+EXP(-SUMPRODUCT(Engine!$B$2:$B$33,INDIRECT("Coefficients!$BU$2:$BU$33")))))</f>
        <v>0.5006211918945594</v>
      </c>
      <c r="H15" s="6">
        <f>IF($B$5="Women",1/(1+EXP(-SUMPRODUCT(Engine!$B$2:$B$33,INDIRECT("Coefficients!$CD$2:$CD$33")))),1/(1+EXP(-SUMPRODUCT(Engine!$B$2:$B$33,INDIRECT("Coefficients!$CE$2:$CE$33")))))</f>
        <v>0.534703048887485</v>
      </c>
      <c r="I15" s="6">
        <f>IF($B$5="Women",1/(1+EXP(-SUMPRODUCT(Engine!$B$2:$B$33,INDIRECT("Coefficients!$CN$2:$CN$33")))),1/(1+EXP(-SUMPRODUCT(Engine!$B$2:$B$33,INDIRECT("Coefficients!$CO$2:$CO$33")))))</f>
        <v>0.5196551757355707</v>
      </c>
    </row>
    <row r="16" spans="1:9" x14ac:dyDescent="0.25">
      <c r="A16" s="4" t="s">
        <v>30</v>
      </c>
      <c r="B16" s="4">
        <v>40</v>
      </c>
      <c r="D16" s="4" t="s">
        <v>15</v>
      </c>
      <c r="E16" s="6">
        <f>IF($B$5="Women",1/(1+EXP(-SUMPRODUCT(Engine!$B$2:$B$33,INDIRECT("Coefficients!$BB$2:$BB$33")))),1/(1+EXP(-SUMPRODUCT(Engine!$B$2:$B$33,INDIRECT("Coefficients!$BC$2:$BC$33")))))</f>
        <v>0.3542551988690411</v>
      </c>
      <c r="F16" s="6">
        <f>IF($B$5="Women",1/(1+EXP(-SUMPRODUCT(Engine!$B$2:$B$33,INDIRECT("Coefficients!$BL$2:$BL$33")))),1/(1+EXP(-SUMPRODUCT(Engine!$B$2:$B$33,INDIRECT("Coefficients!$BM$2:$BM$33")))))</f>
        <v>0.36322352848120315</v>
      </c>
      <c r="G16" s="6">
        <f>IF($B$5="Women",1/(1+EXP(-SUMPRODUCT(Engine!$B$2:$B$33,INDIRECT("Coefficients!$BV$2:$BV$33")))),1/(1+EXP(-SUMPRODUCT(Engine!$B$2:$B$33,INDIRECT("Coefficients!$BW$2:$BW$33")))))</f>
        <v>0.32238789906475523</v>
      </c>
      <c r="H16" s="6">
        <f>IF($B$5="Women",1/(1+EXP(-SUMPRODUCT(Engine!$B$2:$B$33,INDIRECT("Coefficients!$CF$2:$CF$33")))),1/(1+EXP(-SUMPRODUCT(Engine!$B$2:$B$33,INDIRECT("Coefficients!$CG$2:$CG$33")))))</f>
        <v>0.36695490488059235</v>
      </c>
      <c r="I16" s="6">
        <f>IF($B$5="Women",1/(1+EXP(-SUMPRODUCT(Engine!$B$2:$B$33,INDIRECT("Coefficients!$CP$2:$CP$33")))),1/(1+EXP(-SUMPRODUCT(Engine!$B$2:$B$33,INDIRECT("Coefficients!$CQ$2:$CQ$33")))))</f>
        <v>0.3437137287596968</v>
      </c>
    </row>
    <row r="17" spans="1:9" x14ac:dyDescent="0.25">
      <c r="A17" s="4" t="s">
        <v>31</v>
      </c>
      <c r="B17" s="4">
        <v>7.5</v>
      </c>
      <c r="D17" s="4" t="s">
        <v>17</v>
      </c>
      <c r="E17" s="6">
        <f>IF($B$5="Women",1/(1+EXP(-SUMPRODUCT(Engine!$B$2:$B$33,INDIRECT("Coefficients!$BD$2:$BD$33")))),1/(1+EXP(-SUMPRODUCT(Engine!$B$2:$B$33,INDIRECT("Coefficients!$BE$2:$BE$33")))))</f>
        <v>0.38960226711066315</v>
      </c>
      <c r="F17" s="6">
        <f>IF($B$5="Women",1/(1+EXP(-SUMPRODUCT(Engine!$B$2:$B$33,INDIRECT("Coefficients!$BN$2:$BN$33")))),1/(1+EXP(-SUMPRODUCT(Engine!$B$2:$B$33,INDIRECT("Coefficients!$BO$2:$BO$33")))))</f>
        <v>0.4065973332722868</v>
      </c>
      <c r="G17" s="6">
        <f>IF($B$5="Women",1/(1+EXP(-SUMPRODUCT(Engine!$B$2:$B$33,INDIRECT("Coefficients!$BX$2:$BX$33")))),1/(1+EXP(-SUMPRODUCT(Engine!$B$2:$B$33,INDIRECT("Coefficients!$BY$2:$BY$33")))))</f>
        <v>0.38921345951338443</v>
      </c>
      <c r="H17" s="6">
        <f>IF($B$5="Women",1/(1+EXP(-SUMPRODUCT(Engine!$B$2:$B$33,INDIRECT("Coefficients!$CH$2:$CH$33")))),1/(1+EXP(-SUMPRODUCT(Engine!$B$2:$B$33,INDIRECT("Coefficients!$CI$2:$CI$33")))))</f>
        <v>0.40434948980611823</v>
      </c>
      <c r="I17" s="6">
        <f>IF($B$5="Women",1/(1+EXP(-SUMPRODUCT(Engine!$B$2:$B$33,INDIRECT("Coefficients!$CR$2:$CR$33")))),1/(1+EXP(-SUMPRODUCT(Engine!$B$2:$B$33,INDIRECT("Coefficients!$CS$2:$CS$33")))))</f>
        <v>0.40502302842081933</v>
      </c>
    </row>
    <row r="18" spans="1:9" x14ac:dyDescent="0.25">
      <c r="A18" s="4" t="s">
        <v>32</v>
      </c>
      <c r="B18" s="4">
        <v>8</v>
      </c>
      <c r="D18" s="4" t="s">
        <v>19</v>
      </c>
      <c r="E18" s="6">
        <f>IF($B$5="Women",1/(1+EXP(-SUMPRODUCT(Engine!$B$2:$B$33,INDIRECT("Coefficients!$BF$2:$BF$33")))),1/(1+EXP(-SUMPRODUCT(Engine!$B$2:$B$33,INDIRECT("Coefficients!$BG$2:$BG$33")))))</f>
        <v>0.19818169195864557</v>
      </c>
      <c r="F18" s="6">
        <f>IF($B$5="Women",1/(1+EXP(-SUMPRODUCT(Engine!$B$2:$B$33,INDIRECT("Coefficients!$BP$2:$BP$33")))),1/(1+EXP(-SUMPRODUCT(Engine!$B$2:$B$33,INDIRECT("Coefficients!$BQ$2:$BQ$33")))))</f>
        <v>0.20590405573947437</v>
      </c>
      <c r="G18" s="6">
        <f>IF($B$5="Women",1/(1+EXP(-SUMPRODUCT(Engine!$B$2:$B$33,INDIRECT("Coefficients!$BZ$2:$BZ$33")))),1/(1+EXP(-SUMPRODUCT(Engine!$B$2:$B$33,INDIRECT("Coefficients!$CA$2:$CA$33")))))</f>
        <v>0.18211219465582462</v>
      </c>
      <c r="H18" s="6">
        <f>IF($B$5="Women",1/(1+EXP(-SUMPRODUCT(Engine!$B$2:$B$33,INDIRECT("Coefficients!$CJ$2:$CJ$33")))),1/(1+EXP(-SUMPRODUCT(Engine!$B$2:$B$33,INDIRECT("Coefficients!$CK$2:$CK$33")))))</f>
        <v>0.21055631637332342</v>
      </c>
      <c r="I18" s="6">
        <f>IF($B$5="Women",1/(1+EXP(-SUMPRODUCT(Engine!$B$2:$B$33,INDIRECT("Coefficients!$CT$2:$CT$33")))),1/(1+EXP(-SUMPRODUCT(Engine!$B$2:$B$33,INDIRECT("Coefficients!$CU$2:$CU$33")))))</f>
        <v>0.1981291300451217</v>
      </c>
    </row>
    <row r="19" spans="4:9" x14ac:dyDescent="0.25">
      <c r="D19" t="s">
        <v>22</v>
      </c>
      <c r="E19" s="6">
        <f>IF($B$5="Women",1/(1+EXP(-SUMPRODUCT(Engine!$B$2:$B$33,INDIRECT("Coefficients!$BH$2:$BH$33")))),1/(1+EXP(-SUMPRODUCT(Engine!$B$2:$B$33,INDIRECT("Coefficients!$BI$2:$BI$33")))))</f>
        <v>0.22100434259063864</v>
      </c>
      <c r="F19" s="6">
        <f>IF($B$5="Women",1/(1+EXP(-SUMPRODUCT(Engine!$B$2:$B$33,INDIRECT("Coefficients!$BR$2:$BR$33")))),1/(1+EXP(-SUMPRODUCT(Engine!$B$2:$B$33,INDIRECT("Coefficients!$BS$2:$BS$33")))))</f>
        <v>0.2288049834564067</v>
      </c>
      <c r="G19" s="6">
        <f>IF($B$5="Women",1/(1+EXP(-SUMPRODUCT(Engine!$B$2:$B$33,INDIRECT("Coefficients!$CB$2:$CB$33")))),1/(1+EXP(-SUMPRODUCT(Engine!$B$2:$B$33,INDIRECT("Coefficients!$CC$2:$CC$33")))))</f>
        <v>0.18828025719410832</v>
      </c>
      <c r="H19" s="6">
        <f>IF($B$5="Women",1/(1+EXP(-SUMPRODUCT(Engine!$B$2:$B$33,INDIRECT("Coefficients!$CL$2:$CL$33")))),1/(1+EXP(-SUMPRODUCT(Engine!$B$2:$B$33,INDIRECT("Coefficients!$CM$2:$CM$33")))))</f>
        <v>0.23181015716946407</v>
      </c>
      <c r="I19" s="6">
        <f>IF($B$5="Women",1/(1+EXP(-SUMPRODUCT(Engine!$B$2:$B$33,INDIRECT("Coefficients!$CV$2:$CV$33")))),1/(1+EXP(-SUMPRODUCT(Engine!$B$2:$B$33,INDIRECT("Coefficients!$CW$2:$CW$33")))))</f>
        <v>0.20767427433359964</v>
      </c>
    </row>
    <row r="20" spans="1:9" x14ac:dyDescent="0.25">
      <c r="A20" s="8" t="s">
        <v>33</v>
      </c>
      <c r="B20" s="8"/>
      <c r="C20" s="8"/>
      <c r="D20" s="8"/>
      <c r="E20" s="8"/>
      <c r="F20" s="8"/>
      <c r="G20" s="8"/>
      <c r="H20" s="8"/>
      <c r="I20" s="8"/>
    </row>
    <row r="21" spans="1:9" x14ac:dyDescent="0.25">
      <c r="A21" s="8" t="s">
        <v>34</v>
      </c>
      <c r="B21" s="8"/>
      <c r="C21" s="8"/>
      <c r="D21" s="8"/>
      <c r="E21" s="8"/>
      <c r="F21" s="8"/>
      <c r="G21" s="8"/>
      <c r="H21" s="8"/>
      <c r="I21" s="8"/>
    </row>
  </sheetData>
  <mergeCells count="4">
    <mergeCell ref="A1:I1"/>
    <mergeCell ref="A2:I2"/>
    <mergeCell ref="A20:I20"/>
    <mergeCell ref="A21:I21"/>
  </mergeCells>
  <dataValidations count="12">
    <dataValidation type="list" sqref="B10:B11">
      <formula1>"No,Yes"</formula1>
    </dataValidation>
    <dataValidation type="decimal" sqref="B12">
      <formula1>18.5</formula1>
      <formula2>39.999</formula2>
    </dataValidation>
    <dataValidation type="decimal" sqref="B13">
      <formula1>15</formula1>
      <formula2>150</formula2>
    </dataValidation>
    <dataValidation type="list" sqref="B14:B15">
      <formula1>"No,Yes"</formula1>
    </dataValidation>
    <dataValidation type="decimal" allowBlank="1" sqref="B16">
      <formula1>0.1</formula1>
      <formula2>25000</formula2>
    </dataValidation>
    <dataValidation type="decimal" allowBlank="1" sqref="B17">
      <formula1>3</formula1>
      <formula2>15</formula2>
    </dataValidation>
    <dataValidation type="whole" allowBlank="1" sqref="B18">
      <formula1>1</formula1>
      <formula2>10</formula2>
    </dataValidation>
    <dataValidation type="list" sqref="B5">
      <formula1>"Women,Men"</formula1>
    </dataValidation>
    <dataValidation type="whole" sqref="B6">
      <formula1>30</formula1>
      <formula2>79</formula2>
    </dataValidation>
    <dataValidation type="decimal" sqref="B7">
      <formula1>130</formula1>
      <formula2>320</formula2>
    </dataValidation>
    <dataValidation type="decimal" sqref="B8">
      <formula1>20</formula1>
      <formula2>100</formula2>
    </dataValidation>
    <dataValidation type="decimal" sqref="B9">
      <formula1>90</formula1>
      <formula2>200</formula2>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6" customWidth="1"/>
    <col min="2" max="2" width="110" customWidth="1"/>
  </cols>
  <sheetData>
    <row r="1" spans="1:2" s="9" customFormat="1" x14ac:dyDescent="0.25">
      <c r="A1" s="9" t="s">
        <v>35</v>
      </c>
      <c r="B1" s="9" t="s">
        <v>36</v>
      </c>
    </row>
    <row r="2" spans="1:2" x14ac:dyDescent="0.25">
      <c r="A2" t="s">
        <v>37</v>
      </c>
      <c r="B2" t="s">
        <v>38</v>
      </c>
    </row>
    <row r="3" spans="1:2" x14ac:dyDescent="0.25">
      <c r="A3" t="s">
        <v>39</v>
      </c>
      <c r="B3" s="10" t="s">
        <v>40</v>
      </c>
    </row>
    <row r="4" spans="1:2" x14ac:dyDescent="0.25">
      <c r="A4" t="s">
        <v>41</v>
      </c>
      <c r="B4" s="10" t="s">
        <v>42</v>
      </c>
    </row>
    <row r="5" spans="1:2" x14ac:dyDescent="0.25">
      <c r="A5" t="s">
        <v>43</v>
      </c>
      <c r="B5" s="10" t="s">
        <v>44</v>
      </c>
    </row>
    <row r="6" spans="1:2" x14ac:dyDescent="0.25">
      <c r="A6" t="s">
        <v>45</v>
      </c>
      <c r="B6" t="s">
        <v>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FormatPr defaultRowHeight="15" outlineLevelRow="0" outlineLevelCol="0" x14ac:dyDescent="55"/>
  <cols>
    <col min="1" max="1" width="42" customWidth="1"/>
    <col min="2" max="2" width="18" customWidth="1"/>
  </cols>
  <sheetData>
    <row r="1" spans="1:2" x14ac:dyDescent="0.25">
      <c r="A1" t="s">
        <v>47</v>
      </c>
      <c r="B1" t="s">
        <v>48</v>
      </c>
    </row>
    <row r="2" spans="1:2" x14ac:dyDescent="0.25">
      <c r="A2" t="s">
        <v>49</v>
      </c>
      <c r="B2">
        <f>(Calculator!$B$6-55)/10</f>
      </c>
    </row>
    <row r="3" spans="1:2" x14ac:dyDescent="0.25">
      <c r="A3" t="s">
        <v>50</v>
      </c>
      <c r="B3">
        <f>((Calculator!$B$6-55)/10)^2</f>
      </c>
    </row>
    <row r="4" spans="1:2" x14ac:dyDescent="0.25">
      <c r="A4" t="s">
        <v>51</v>
      </c>
      <c r="B4">
        <f>((Calculator!$B$7-Calculator!$B$8)*0.02586)-3.5</f>
      </c>
    </row>
    <row r="5" spans="1:2" x14ac:dyDescent="0.25">
      <c r="A5" t="s">
        <v>52</v>
      </c>
      <c r="B5">
        <f>((Calculator!$B$8*0.02586)-1.3)/0.3</f>
      </c>
    </row>
    <row r="6" spans="1:2" x14ac:dyDescent="0.25">
      <c r="A6" t="s">
        <v>53</v>
      </c>
      <c r="B6">
        <f>(MIN(Calculator!$B$9,110)-110)/20</f>
      </c>
    </row>
    <row r="7" spans="1:2" x14ac:dyDescent="0.25">
      <c r="A7" t="s">
        <v>54</v>
      </c>
      <c r="B7">
        <f>(MAX(Calculator!$B$9,110)-130)/20</f>
      </c>
    </row>
    <row r="8" spans="1:2" x14ac:dyDescent="0.25">
      <c r="A8" t="s">
        <v>20</v>
      </c>
      <c r="B8">
        <f>IF(Calculator!$B$10="Yes",1,0)</f>
      </c>
    </row>
    <row r="9" spans="1:2" x14ac:dyDescent="0.25">
      <c r="A9" t="s">
        <v>23</v>
      </c>
      <c r="B9">
        <f>IF(Calculator!$B$11="Yes",1,0)</f>
      </c>
    </row>
    <row r="10" spans="1:2" x14ac:dyDescent="0.25">
      <c r="A10" t="s">
        <v>55</v>
      </c>
      <c r="B10">
        <f>(MIN(Calculator!$B$12,30)-25)/5</f>
      </c>
    </row>
    <row r="11" spans="1:2" x14ac:dyDescent="0.25">
      <c r="A11" t="s">
        <v>56</v>
      </c>
      <c r="B11">
        <f>(MAX(Calculator!$B$12,30)-30)/5</f>
      </c>
    </row>
    <row r="12" spans="1:2" x14ac:dyDescent="0.25">
      <c r="A12" t="s">
        <v>57</v>
      </c>
      <c r="B12">
        <f>(MIN(Calculator!$B$13,60)-60)/-15</f>
      </c>
    </row>
    <row r="13" spans="1:2" x14ac:dyDescent="0.25">
      <c r="A13" t="s">
        <v>58</v>
      </c>
      <c r="B13">
        <f>(MAX(Calculator!$B$13,60)-90)/-15</f>
      </c>
    </row>
    <row r="14" spans="1:2" x14ac:dyDescent="0.25">
      <c r="A14" t="s">
        <v>59</v>
      </c>
      <c r="B14">
        <f>IF(Calculator!$B$14="Yes",1,0)</f>
      </c>
    </row>
    <row r="15" spans="1:2" x14ac:dyDescent="0.25">
      <c r="A15" t="s">
        <v>29</v>
      </c>
      <c r="B15">
        <f>IF(Calculator!$B$15="Yes",1,0)</f>
      </c>
    </row>
    <row r="16" spans="1:2" x14ac:dyDescent="0.25">
      <c r="A16" t="s">
        <v>60</v>
      </c>
      <c r="B16">
        <f>((MAX(Calculator!$B$9,110)-130)/20)*IF(Calculator!$B$14="Yes",1,0)</f>
      </c>
    </row>
    <row r="17" spans="1:2" x14ac:dyDescent="0.25">
      <c r="A17" t="s">
        <v>61</v>
      </c>
      <c r="B17">
        <f>((((Calculator!$B$7-Calculator!$B$8)*0.02586)-3.5))*IF(Calculator!$B$15="Yes",1,0)</f>
      </c>
    </row>
    <row r="18" spans="1:2" x14ac:dyDescent="0.25">
      <c r="A18" t="s">
        <v>62</v>
      </c>
      <c r="B18">
        <f>(((Calculator!$B$6-55)/10)*(((((Calculator!$B$7-Calculator!$B$8)*0.02586)-3.5))))</f>
      </c>
    </row>
    <row r="19" spans="1:2" x14ac:dyDescent="0.25">
      <c r="A19" t="s">
        <v>63</v>
      </c>
      <c r="B19">
        <f>(((Calculator!$B$6-55)/10)*(((Calculator!$B$8*0.02586)-1.3)/0.3))</f>
      </c>
    </row>
    <row r="20" spans="1:2" x14ac:dyDescent="0.25">
      <c r="A20" t="s">
        <v>64</v>
      </c>
      <c r="B20">
        <f>(((Calculator!$B$6-55)/10)*((MAX(Calculator!$B$9,110)-130)/20))</f>
      </c>
    </row>
    <row r="21" spans="1:2" x14ac:dyDescent="0.25">
      <c r="A21" t="s">
        <v>65</v>
      </c>
      <c r="B21">
        <f>(((Calculator!$B$6-55)/10)*IF(Calculator!$B$10="Yes",1,0))</f>
      </c>
    </row>
    <row r="22" spans="1:2" x14ac:dyDescent="0.25">
      <c r="A22" t="s">
        <v>66</v>
      </c>
      <c r="B22">
        <f>(((Calculator!$B$6-55)/10)*IF(Calculator!$B$11="Yes",1,0))</f>
      </c>
    </row>
    <row r="23" spans="1:2" x14ac:dyDescent="0.25">
      <c r="A23" t="s">
        <v>67</v>
      </c>
      <c r="B23">
        <f>(((Calculator!$B$6-55)/10)*((MAX(Calculator!$B$12,30)-30)/5))</f>
      </c>
    </row>
    <row r="24" spans="1:2" x14ac:dyDescent="0.25">
      <c r="A24" t="s">
        <v>68</v>
      </c>
      <c r="B24">
        <f>(((Calculator!$B$6-55)/10)*((MIN(Calculator!$B$13,60)-60)/-15))</f>
      </c>
    </row>
    <row r="25" spans="1:2" x14ac:dyDescent="0.25">
      <c r="A25" t="s">
        <v>69</v>
      </c>
      <c r="B25">
        <f>IF(AND(Calculator!$B$18&lt;&gt;"",Calculator!$B$18&gt;=4,Calculator!$B$18&lt;=6),1,0)</f>
      </c>
    </row>
    <row r="26" spans="1:2" x14ac:dyDescent="0.25">
      <c r="A26" t="s">
        <v>70</v>
      </c>
      <c r="B26">
        <f>IF(AND(Calculator!$B$18&lt;&gt;"",Calculator!$B$18&gt;=7,Calculator!$B$18&lt;=10),1,0)</f>
      </c>
    </row>
    <row r="27" spans="1:2" x14ac:dyDescent="0.25">
      <c r="A27" t="s">
        <v>71</v>
      </c>
      <c r="B27">
        <f>IF(Calculator!$B$18="",1,0)</f>
      </c>
    </row>
    <row r="28" spans="1:2" x14ac:dyDescent="0.25">
      <c r="A28" t="s">
        <v>72</v>
      </c>
      <c r="B28">
        <f>IF(OR(Calculator!$B$16="",Calculator!$B$16=0),0,LN(Calculator!$B$16))</f>
      </c>
    </row>
    <row r="29" spans="1:2" x14ac:dyDescent="0.25">
      <c r="A29" t="s">
        <v>73</v>
      </c>
      <c r="B29">
        <f>IF(Calculator!$B$16="",1,0)</f>
      </c>
    </row>
    <row r="30" spans="1:2" x14ac:dyDescent="0.25">
      <c r="A30" t="s">
        <v>74</v>
      </c>
      <c r="B30">
        <f>IF(Calculator!$B$17="",0,(Calculator!$B$17-5.3)*IF(Calculator!$B$10="Yes",1,0))</f>
      </c>
    </row>
    <row r="31" spans="1:2" x14ac:dyDescent="0.25">
      <c r="A31" t="s">
        <v>75</v>
      </c>
      <c r="B31">
        <f>IF(Calculator!$B$17="",0,(Calculator!$B$17-5.3)*(1-IF(Calculator!$B$10="Yes",1,0)))</f>
      </c>
    </row>
    <row r="32" spans="1:2" x14ac:dyDescent="0.25">
      <c r="A32" t="s">
        <v>76</v>
      </c>
      <c r="B32">
        <f>IF(Calculator!$B$17="",1,0)</f>
      </c>
    </row>
    <row r="33" spans="1:2" x14ac:dyDescent="0.25">
      <c r="A33" t="s">
        <v>77</v>
      </c>
      <c r="B33">
        <f>1</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33"/>
  <sheetFormatPr defaultRowHeight="15" outlineLevelRow="0" outlineLevelCol="0" x14ac:dyDescent="55"/>
  <sheetData>
    <row r="1" spans="1:101" x14ac:dyDescent="0.25">
      <c r="A1" t="s">
        <v>47</v>
      </c>
      <c r="B1" t="s">
        <v>78</v>
      </c>
      <c r="C1" t="s">
        <v>79</v>
      </c>
      <c r="D1" t="s">
        <v>80</v>
      </c>
      <c r="E1" t="s">
        <v>81</v>
      </c>
      <c r="F1" t="s">
        <v>82</v>
      </c>
      <c r="G1" t="s">
        <v>83</v>
      </c>
      <c r="H1" t="s">
        <v>84</v>
      </c>
      <c r="I1" t="s">
        <v>85</v>
      </c>
      <c r="J1" t="s">
        <v>86</v>
      </c>
      <c r="K1" t="s">
        <v>87</v>
      </c>
      <c r="L1" t="s">
        <v>88</v>
      </c>
      <c r="M1" t="s">
        <v>89</v>
      </c>
      <c r="N1" t="s">
        <v>90</v>
      </c>
      <c r="O1" t="s">
        <v>91</v>
      </c>
      <c r="P1" t="s">
        <v>92</v>
      </c>
      <c r="Q1" t="s">
        <v>93</v>
      </c>
      <c r="R1" t="s">
        <v>94</v>
      </c>
      <c r="S1" t="s">
        <v>95</v>
      </c>
      <c r="T1" t="s">
        <v>96</v>
      </c>
      <c r="U1" t="s">
        <v>97</v>
      </c>
      <c r="V1" t="s">
        <v>98</v>
      </c>
      <c r="W1" t="s">
        <v>99</v>
      </c>
      <c r="X1" t="s">
        <v>100</v>
      </c>
      <c r="Y1" t="s">
        <v>101</v>
      </c>
      <c r="Z1" t="s">
        <v>102</v>
      </c>
      <c r="AA1" t="s">
        <v>103</v>
      </c>
      <c r="AB1" t="s">
        <v>104</v>
      </c>
      <c r="AC1" t="s">
        <v>105</v>
      </c>
      <c r="AD1" t="s">
        <v>106</v>
      </c>
      <c r="AE1" t="s">
        <v>107</v>
      </c>
      <c r="AF1" t="s">
        <v>108</v>
      </c>
      <c r="AG1" t="s">
        <v>109</v>
      </c>
      <c r="AH1" t="s">
        <v>110</v>
      </c>
      <c r="AI1" t="s">
        <v>111</v>
      </c>
      <c r="AJ1" t="s">
        <v>112</v>
      </c>
      <c r="AK1" t="s">
        <v>113</v>
      </c>
      <c r="AL1" t="s">
        <v>114</v>
      </c>
      <c r="AM1" t="s">
        <v>115</v>
      </c>
      <c r="AN1" t="s">
        <v>116</v>
      </c>
      <c r="AO1" t="s">
        <v>117</v>
      </c>
      <c r="AP1" t="s">
        <v>118</v>
      </c>
      <c r="AQ1" t="s">
        <v>119</v>
      </c>
      <c r="AR1" t="s">
        <v>120</v>
      </c>
      <c r="AS1" t="s">
        <v>121</v>
      </c>
      <c r="AT1" t="s">
        <v>122</v>
      </c>
      <c r="AU1" t="s">
        <v>123</v>
      </c>
      <c r="AV1" t="s">
        <v>124</v>
      </c>
      <c r="AW1" t="s">
        <v>125</v>
      </c>
      <c r="AX1" t="s">
        <v>126</v>
      </c>
      <c r="AY1" t="s">
        <v>127</v>
      </c>
      <c r="AZ1" t="s">
        <v>128</v>
      </c>
      <c r="BA1" t="s">
        <v>129</v>
      </c>
      <c r="BB1" t="s">
        <v>130</v>
      </c>
      <c r="BC1" t="s">
        <v>131</v>
      </c>
      <c r="BD1" t="s">
        <v>132</v>
      </c>
      <c r="BE1" t="s">
        <v>133</v>
      </c>
      <c r="BF1" t="s">
        <v>134</v>
      </c>
      <c r="BG1" t="s">
        <v>135</v>
      </c>
      <c r="BH1" t="s">
        <v>136</v>
      </c>
      <c r="BI1" t="s">
        <v>137</v>
      </c>
      <c r="BJ1" t="s">
        <v>138</v>
      </c>
      <c r="BK1" t="s">
        <v>139</v>
      </c>
      <c r="BL1" t="s">
        <v>140</v>
      </c>
      <c r="BM1" t="s">
        <v>141</v>
      </c>
      <c r="BN1" t="s">
        <v>142</v>
      </c>
      <c r="BO1" t="s">
        <v>143</v>
      </c>
      <c r="BP1" t="s">
        <v>144</v>
      </c>
      <c r="BQ1" t="s">
        <v>145</v>
      </c>
      <c r="BR1" t="s">
        <v>146</v>
      </c>
      <c r="BS1" t="s">
        <v>147</v>
      </c>
      <c r="BT1" t="s">
        <v>148</v>
      </c>
      <c r="BU1" t="s">
        <v>149</v>
      </c>
      <c r="BV1" t="s">
        <v>150</v>
      </c>
      <c r="BW1" t="s">
        <v>151</v>
      </c>
      <c r="BX1" t="s">
        <v>152</v>
      </c>
      <c r="BY1" t="s">
        <v>153</v>
      </c>
      <c r="BZ1" t="s">
        <v>154</v>
      </c>
      <c r="CA1" t="s">
        <v>155</v>
      </c>
      <c r="CB1" t="s">
        <v>156</v>
      </c>
      <c r="CC1" t="s">
        <v>157</v>
      </c>
      <c r="CD1" t="s">
        <v>158</v>
      </c>
      <c r="CE1" t="s">
        <v>159</v>
      </c>
      <c r="CF1" t="s">
        <v>160</v>
      </c>
      <c r="CG1" t="s">
        <v>161</v>
      </c>
      <c r="CH1" t="s">
        <v>162</v>
      </c>
      <c r="CI1" t="s">
        <v>163</v>
      </c>
      <c r="CJ1" t="s">
        <v>164</v>
      </c>
      <c r="CK1" t="s">
        <v>165</v>
      </c>
      <c r="CL1" t="s">
        <v>166</v>
      </c>
      <c r="CM1" t="s">
        <v>167</v>
      </c>
      <c r="CN1" t="s">
        <v>168</v>
      </c>
      <c r="CO1" t="s">
        <v>169</v>
      </c>
      <c r="CP1" t="s">
        <v>170</v>
      </c>
      <c r="CQ1" t="s">
        <v>171</v>
      </c>
      <c r="CR1" t="s">
        <v>172</v>
      </c>
      <c r="CS1" t="s">
        <v>173</v>
      </c>
      <c r="CT1" t="s">
        <v>174</v>
      </c>
      <c r="CU1" t="s">
        <v>175</v>
      </c>
      <c r="CV1" t="s">
        <v>176</v>
      </c>
      <c r="CW1" t="s">
        <v>177</v>
      </c>
    </row>
    <row r="2" spans="1:101" x14ac:dyDescent="0.25">
      <c r="A2" t="s">
        <v>49</v>
      </c>
      <c r="B2">
        <v>0.7939329</v>
      </c>
      <c r="C2">
        <v>0.7688528</v>
      </c>
      <c r="D2">
        <v>0.719883</v>
      </c>
      <c r="E2">
        <v>0.7099847</v>
      </c>
      <c r="F2">
        <v>0.8998235</v>
      </c>
      <c r="G2">
        <v>0.8972642</v>
      </c>
      <c r="H2">
        <v>0.7587146</v>
      </c>
      <c r="I2">
        <v>0.7423283</v>
      </c>
      <c r="J2">
        <v>0.6907849</v>
      </c>
      <c r="K2">
        <v>0.722513</v>
      </c>
      <c r="L2">
        <v>0.7969249</v>
      </c>
      <c r="M2">
        <v>0.7768655</v>
      </c>
      <c r="N2">
        <v>0.7201999</v>
      </c>
      <c r="O2">
        <v>0.7141718</v>
      </c>
      <c r="P2">
        <v>0.9145975</v>
      </c>
      <c r="Q2">
        <v>0.9111795</v>
      </c>
      <c r="R2">
        <v>0.7614931</v>
      </c>
      <c r="S2">
        <v>0.7502946</v>
      </c>
      <c r="T2">
        <v>0.6930839</v>
      </c>
      <c r="U2">
        <v>0.7318016</v>
      </c>
      <c r="V2">
        <v>0.7858178</v>
      </c>
      <c r="W2">
        <v>0.7699177</v>
      </c>
      <c r="X2">
        <v>0.7111831</v>
      </c>
      <c r="Y2">
        <v>0.7064146</v>
      </c>
      <c r="Z2">
        <v>0.8997391</v>
      </c>
      <c r="AA2">
        <v>0.911787</v>
      </c>
      <c r="AB2">
        <v>0.7559415</v>
      </c>
      <c r="AC2">
        <v>0.7223642</v>
      </c>
      <c r="AD2">
        <v>0.6854957</v>
      </c>
      <c r="AE2">
        <v>0.7244468</v>
      </c>
      <c r="AF2">
        <v>0.7754083</v>
      </c>
      <c r="AG2">
        <v>0.7756377</v>
      </c>
      <c r="AH2">
        <v>0.7028123</v>
      </c>
      <c r="AI2">
        <v>0.7150087</v>
      </c>
      <c r="AJ2">
        <v>0.8819156</v>
      </c>
      <c r="AK2">
        <v>0.894179</v>
      </c>
      <c r="AL2">
        <v>0.7583013</v>
      </c>
      <c r="AM2">
        <v>0.7373893</v>
      </c>
      <c r="AN2">
        <v>0.6883817</v>
      </c>
      <c r="AO2">
        <v>0.7163792</v>
      </c>
      <c r="AP2">
        <v>0.7716794</v>
      </c>
      <c r="AQ2">
        <v>0.7847578</v>
      </c>
      <c r="AR2">
        <v>0.7023067</v>
      </c>
      <c r="AS2">
        <v>0.7128741</v>
      </c>
      <c r="AT2">
        <v>0.884209</v>
      </c>
      <c r="AU2">
        <v>0.9095703</v>
      </c>
      <c r="AV2">
        <v>0.7544208</v>
      </c>
      <c r="AW2">
        <v>0.7335852</v>
      </c>
      <c r="AX2">
        <v>0.6848394</v>
      </c>
      <c r="AY2">
        <v>0.7182761</v>
      </c>
      <c r="AZ2">
        <v>0.5503079</v>
      </c>
      <c r="BA2">
        <v>0.4627309</v>
      </c>
      <c r="BB2">
        <v>0.4669202</v>
      </c>
      <c r="BC2">
        <v>0.3994099</v>
      </c>
      <c r="BD2">
        <v>0.6254374</v>
      </c>
      <c r="BE2">
        <v>0.5681541</v>
      </c>
      <c r="BF2">
        <v>0.4912423</v>
      </c>
      <c r="BG2">
        <v>0.4171209</v>
      </c>
      <c r="BH2">
        <v>0.4366978</v>
      </c>
      <c r="BI2">
        <v>0.4003448</v>
      </c>
      <c r="BJ2">
        <v>0.5491768</v>
      </c>
      <c r="BK2">
        <v>0.464491</v>
      </c>
      <c r="BL2">
        <v>0.4629669</v>
      </c>
      <c r="BM2">
        <v>0.3995607</v>
      </c>
      <c r="BN2">
        <v>0.6319513</v>
      </c>
      <c r="BO2">
        <v>0.5750236</v>
      </c>
      <c r="BP2">
        <v>0.4898341</v>
      </c>
      <c r="BQ2">
        <v>0.420671</v>
      </c>
      <c r="BR2">
        <v>0.4354844</v>
      </c>
      <c r="BS2">
        <v>0.4058962</v>
      </c>
      <c r="BT2">
        <v>0.5343493</v>
      </c>
      <c r="BU2">
        <v>0.4519873</v>
      </c>
      <c r="BV2">
        <v>0.4555574</v>
      </c>
      <c r="BW2">
        <v>0.3883267</v>
      </c>
      <c r="BX2">
        <v>0.6210856</v>
      </c>
      <c r="BY2">
        <v>0.5703729</v>
      </c>
      <c r="BZ2">
        <v>0.4853187</v>
      </c>
      <c r="CA2">
        <v>0.3944508</v>
      </c>
      <c r="CB2">
        <v>0.4296679</v>
      </c>
      <c r="CC2">
        <v>0.397402</v>
      </c>
      <c r="CD2">
        <v>0.5124233</v>
      </c>
      <c r="CE2">
        <v>0.437377</v>
      </c>
      <c r="CF2">
        <v>0.4396545</v>
      </c>
      <c r="CG2">
        <v>0.3749788</v>
      </c>
      <c r="CH2">
        <v>0.5919097</v>
      </c>
      <c r="CI2">
        <v>0.5387527</v>
      </c>
      <c r="CJ2">
        <v>0.4784682</v>
      </c>
      <c r="CK2">
        <v>0.3865174</v>
      </c>
      <c r="CL2">
        <v>0.4233798</v>
      </c>
      <c r="CM2">
        <v>0.3727634</v>
      </c>
      <c r="CN2">
        <v>0.5073749</v>
      </c>
      <c r="CO2">
        <v>0.4427595</v>
      </c>
      <c r="CP2">
        <v>0.4386739</v>
      </c>
      <c r="CQ2">
        <v>0.3743566</v>
      </c>
      <c r="CR2">
        <v>0.5927507</v>
      </c>
      <c r="CS2">
        <v>0.5478829</v>
      </c>
      <c r="CT2">
        <v>0.47488</v>
      </c>
      <c r="CU2">
        <v>0.3858298</v>
      </c>
      <c r="CV2">
        <v>0.4203891</v>
      </c>
      <c r="CW2">
        <v>0.3762751</v>
      </c>
    </row>
    <row r="3" spans="1:101" x14ac:dyDescent="0.25">
      <c r="A3" t="s">
        <v>50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-0.0928369</v>
      </c>
      <c r="BA3">
        <v>-0.0984281</v>
      </c>
      <c r="BB3">
        <v>-0.0893118</v>
      </c>
      <c r="BC3">
        <v>-0.0937484</v>
      </c>
      <c r="BD3">
        <v>-0.0983038</v>
      </c>
      <c r="BE3">
        <v>-0.1048388</v>
      </c>
      <c r="BF3">
        <v>-0.0917078</v>
      </c>
      <c r="BG3">
        <v>-0.0949994</v>
      </c>
      <c r="BH3">
        <v>-0.0873673</v>
      </c>
      <c r="BI3">
        <v>-0.0935927</v>
      </c>
      <c r="BJ3">
        <v>-0.0937311</v>
      </c>
      <c r="BK3">
        <v>-0.0998895</v>
      </c>
      <c r="BL3">
        <v>-0.0902777</v>
      </c>
      <c r="BM3">
        <v>-0.094557</v>
      </c>
      <c r="BN3">
        <v>-0.1009284</v>
      </c>
      <c r="BO3">
        <v>-0.1062268</v>
      </c>
      <c r="BP3">
        <v>-0.0926865</v>
      </c>
      <c r="BQ3">
        <v>-0.0959158</v>
      </c>
      <c r="BR3">
        <v>-0.0881545</v>
      </c>
      <c r="BS3">
        <v>-0.0942566</v>
      </c>
      <c r="BT3">
        <v>-0.0952314</v>
      </c>
      <c r="BU3">
        <v>-0.101624</v>
      </c>
      <c r="BV3">
        <v>-0.0903501</v>
      </c>
      <c r="BW3">
        <v>-0.0958114</v>
      </c>
      <c r="BX3">
        <v>-0.1000972</v>
      </c>
      <c r="BY3">
        <v>-0.1084544</v>
      </c>
      <c r="BZ3">
        <v>-0.0929654</v>
      </c>
      <c r="CA3">
        <v>-0.0956857</v>
      </c>
      <c r="CB3">
        <v>-0.0883118</v>
      </c>
      <c r="CC3">
        <v>-0.0953425</v>
      </c>
      <c r="CD3">
        <v>-0.0978159</v>
      </c>
      <c r="CE3">
        <v>-0.104443</v>
      </c>
      <c r="CF3">
        <v>-0.0918489</v>
      </c>
      <c r="CG3">
        <v>-0.0990063</v>
      </c>
      <c r="CH3">
        <v>-0.1023133</v>
      </c>
      <c r="CI3">
        <v>-0.1090333</v>
      </c>
      <c r="CJ3">
        <v>-0.0949639</v>
      </c>
      <c r="CK3">
        <v>-0.0992772</v>
      </c>
      <c r="CL3">
        <v>-0.0903496</v>
      </c>
      <c r="CM3">
        <v>-0.0968343</v>
      </c>
      <c r="CN3">
        <v>-0.0981751</v>
      </c>
      <c r="CO3">
        <v>-0.1064108</v>
      </c>
      <c r="CP3">
        <v>-0.0921956</v>
      </c>
      <c r="CQ3">
        <v>-0.0995499</v>
      </c>
      <c r="CR3">
        <v>-0.1028754</v>
      </c>
      <c r="CS3">
        <v>-0.1111928</v>
      </c>
      <c r="CT3">
        <v>-0.0950733</v>
      </c>
      <c r="CU3">
        <v>-0.0994131</v>
      </c>
      <c r="CV3">
        <v>-0.0903905</v>
      </c>
      <c r="CW3">
        <v>-0.0974722</v>
      </c>
    </row>
    <row r="4" spans="1:101" x14ac:dyDescent="0.25">
      <c r="A4" t="s">
        <v>51</v>
      </c>
      <c r="B4">
        <v>0.0305239</v>
      </c>
      <c r="C4">
        <v>0.0736174</v>
      </c>
      <c r="D4">
        <v>0.1176967</v>
      </c>
      <c r="E4">
        <v>0.1658663</v>
      </c>
      <c r="F4">
        <v>0</v>
      </c>
      <c r="G4">
        <v>0</v>
      </c>
      <c r="H4">
        <v>0.1810949</v>
      </c>
      <c r="I4">
        <v>0.2572109</v>
      </c>
      <c r="J4">
        <v>0.0534279</v>
      </c>
      <c r="K4">
        <v>0.0263348</v>
      </c>
      <c r="L4">
        <v>0.0256635</v>
      </c>
      <c r="M4">
        <v>0.0659949</v>
      </c>
      <c r="N4">
        <v>0.1135771</v>
      </c>
      <c r="O4">
        <v>0.1602194</v>
      </c>
      <c r="P4">
        <v>0</v>
      </c>
      <c r="Q4">
        <v>0</v>
      </c>
      <c r="R4">
        <v>0.1765755</v>
      </c>
      <c r="S4">
        <v>0.2509378</v>
      </c>
      <c r="T4">
        <v>0.0497817</v>
      </c>
      <c r="U4">
        <v>0.0213625</v>
      </c>
      <c r="V4">
        <v>0.0194438</v>
      </c>
      <c r="W4">
        <v>0.0605093</v>
      </c>
      <c r="X4">
        <v>0.106797</v>
      </c>
      <c r="Y4">
        <v>0.1532267</v>
      </c>
      <c r="Z4">
        <v>0</v>
      </c>
      <c r="AA4">
        <v>0</v>
      </c>
      <c r="AB4">
        <v>0.1663933</v>
      </c>
      <c r="AC4">
        <v>0.2443591</v>
      </c>
      <c r="AD4">
        <v>0.043261</v>
      </c>
      <c r="AE4">
        <v>0.0134286</v>
      </c>
      <c r="AF4">
        <v>0.0221756</v>
      </c>
      <c r="AG4">
        <v>0.0715325</v>
      </c>
      <c r="AH4">
        <v>0.1056078</v>
      </c>
      <c r="AI4">
        <v>0.1627339</v>
      </c>
      <c r="AJ4">
        <v>0</v>
      </c>
      <c r="AK4">
        <v>0</v>
      </c>
      <c r="AL4">
        <v>0.1609442</v>
      </c>
      <c r="AM4">
        <v>0.2569383</v>
      </c>
      <c r="AN4">
        <v>0.0468715</v>
      </c>
      <c r="AO4">
        <v>0.0167351</v>
      </c>
      <c r="AP4">
        <v>0.0062109</v>
      </c>
      <c r="AQ4">
        <v>0.0534485</v>
      </c>
      <c r="AR4">
        <v>0.0898765</v>
      </c>
      <c r="AS4">
        <v>0.1465201</v>
      </c>
      <c r="AT4">
        <v>0</v>
      </c>
      <c r="AU4">
        <v>0</v>
      </c>
      <c r="AV4">
        <v>0.1403589</v>
      </c>
      <c r="AW4">
        <v>0.2403104</v>
      </c>
      <c r="AX4">
        <v>0.0327248</v>
      </c>
      <c r="AY4">
        <v>0.0008864</v>
      </c>
      <c r="AZ4">
        <v>0.0409794</v>
      </c>
      <c r="BA4">
        <v>0.0836088</v>
      </c>
      <c r="BB4">
        <v>0.1256901</v>
      </c>
      <c r="BC4">
        <v>0.1744643</v>
      </c>
      <c r="BD4">
        <v>0</v>
      </c>
      <c r="BE4">
        <v>0</v>
      </c>
      <c r="BF4">
        <v>0.1878256</v>
      </c>
      <c r="BG4">
        <v>0.2651913</v>
      </c>
      <c r="BH4">
        <v>0.0586334</v>
      </c>
      <c r="BI4">
        <v>0.0309419</v>
      </c>
      <c r="BJ4">
        <v>0.0359847</v>
      </c>
      <c r="BK4">
        <v>0.0757606</v>
      </c>
      <c r="BL4">
        <v>0.1215214</v>
      </c>
      <c r="BM4">
        <v>0.1686692</v>
      </c>
      <c r="BN4">
        <v>0</v>
      </c>
      <c r="BO4">
        <v>0</v>
      </c>
      <c r="BP4">
        <v>0.1833508</v>
      </c>
      <c r="BQ4">
        <v>0.2588159</v>
      </c>
      <c r="BR4">
        <v>0.0550003</v>
      </c>
      <c r="BS4">
        <v>0.0258703</v>
      </c>
      <c r="BT4">
        <v>0.0298124</v>
      </c>
      <c r="BU4">
        <v>0.0700456</v>
      </c>
      <c r="BV4">
        <v>0.1148321</v>
      </c>
      <c r="BW4">
        <v>0.1613374</v>
      </c>
      <c r="BX4">
        <v>0</v>
      </c>
      <c r="BY4">
        <v>0</v>
      </c>
      <c r="BZ4">
        <v>0.1733152</v>
      </c>
      <c r="CA4">
        <v>0.2519365</v>
      </c>
      <c r="CB4">
        <v>0.0487321</v>
      </c>
      <c r="CC4">
        <v>0.0180202</v>
      </c>
      <c r="CD4">
        <v>0.0322131</v>
      </c>
      <c r="CE4">
        <v>0.0812573</v>
      </c>
      <c r="CF4">
        <v>0.1132729</v>
      </c>
      <c r="CG4">
        <v>0.1708505</v>
      </c>
      <c r="CH4">
        <v>0</v>
      </c>
      <c r="CI4">
        <v>0</v>
      </c>
      <c r="CJ4">
        <v>0.1674501</v>
      </c>
      <c r="CK4">
        <v>0.2645934</v>
      </c>
      <c r="CL4">
        <v>0.0520837</v>
      </c>
      <c r="CM4">
        <v>0.0212833</v>
      </c>
      <c r="CN4">
        <v>0.0162303</v>
      </c>
      <c r="CO4">
        <v>0.0629381</v>
      </c>
      <c r="CP4">
        <v>0.0977728</v>
      </c>
      <c r="CQ4">
        <v>0.1544808</v>
      </c>
      <c r="CR4">
        <v>0</v>
      </c>
      <c r="CS4">
        <v>0</v>
      </c>
      <c r="CT4">
        <v>0.1472475</v>
      </c>
      <c r="CU4">
        <v>0.2479637</v>
      </c>
      <c r="CV4">
        <v>0.0383085</v>
      </c>
      <c r="CW4">
        <v>0.005415</v>
      </c>
    </row>
    <row r="5" spans="1:101" x14ac:dyDescent="0.25">
      <c r="A5" t="s">
        <v>52</v>
      </c>
      <c r="B5">
        <v>-0.1606857</v>
      </c>
      <c r="C5">
        <v>-0.0954431</v>
      </c>
      <c r="D5">
        <v>-0.151185</v>
      </c>
      <c r="E5">
        <v>-0.1144285</v>
      </c>
      <c r="F5">
        <v>0</v>
      </c>
      <c r="G5">
        <v>0</v>
      </c>
      <c r="H5">
        <v>-0.2014507</v>
      </c>
      <c r="I5">
        <v>-0.1820374</v>
      </c>
      <c r="J5">
        <v>-0.1055109</v>
      </c>
      <c r="K5">
        <v>-0.0248959</v>
      </c>
      <c r="L5">
        <v>-0.1588107</v>
      </c>
      <c r="M5">
        <v>-0.0951111</v>
      </c>
      <c r="N5">
        <v>-0.1493506</v>
      </c>
      <c r="O5">
        <v>-0.1139086</v>
      </c>
      <c r="P5">
        <v>0</v>
      </c>
      <c r="Q5">
        <v>0</v>
      </c>
      <c r="R5">
        <v>-0.1996513</v>
      </c>
      <c r="S5">
        <v>-0.1815561</v>
      </c>
      <c r="T5">
        <v>-0.1036238</v>
      </c>
      <c r="U5">
        <v>-0.025297</v>
      </c>
      <c r="V5">
        <v>-0.1521964</v>
      </c>
      <c r="W5">
        <v>-0.0888525</v>
      </c>
      <c r="X5">
        <v>-0.1425745</v>
      </c>
      <c r="Y5">
        <v>-0.1082166</v>
      </c>
      <c r="Z5">
        <v>0</v>
      </c>
      <c r="AA5">
        <v>0</v>
      </c>
      <c r="AB5">
        <v>-0.1905004</v>
      </c>
      <c r="AC5">
        <v>-0.1755236</v>
      </c>
      <c r="AD5">
        <v>-0.0983793</v>
      </c>
      <c r="AE5">
        <v>-0.0204357</v>
      </c>
      <c r="AF5">
        <v>-0.1650828</v>
      </c>
      <c r="AG5">
        <v>-0.0976775</v>
      </c>
      <c r="AH5">
        <v>-0.1502263</v>
      </c>
      <c r="AI5">
        <v>-0.1194988</v>
      </c>
      <c r="AJ5">
        <v>0</v>
      </c>
      <c r="AK5">
        <v>0</v>
      </c>
      <c r="AL5">
        <v>-0.2079405</v>
      </c>
      <c r="AM5">
        <v>-0.1900041</v>
      </c>
      <c r="AN5">
        <v>-0.1034667</v>
      </c>
      <c r="AO5">
        <v>-0.0265039</v>
      </c>
      <c r="AP5">
        <v>-0.1547756</v>
      </c>
      <c r="AQ5">
        <v>-0.0911282</v>
      </c>
      <c r="AR5">
        <v>-0.1407316</v>
      </c>
      <c r="AS5">
        <v>-0.1125794</v>
      </c>
      <c r="AT5">
        <v>0</v>
      </c>
      <c r="AU5">
        <v>0</v>
      </c>
      <c r="AV5">
        <v>-0.1954699</v>
      </c>
      <c r="AW5">
        <v>-0.1822238</v>
      </c>
      <c r="AX5">
        <v>-0.0957615</v>
      </c>
      <c r="AY5">
        <v>-0.0220683</v>
      </c>
      <c r="AZ5">
        <v>-0.1663306</v>
      </c>
      <c r="BA5">
        <v>-0.1029824</v>
      </c>
      <c r="BB5">
        <v>-0.1542255</v>
      </c>
      <c r="BC5">
        <v>-0.120203</v>
      </c>
      <c r="BD5">
        <v>0</v>
      </c>
      <c r="BE5">
        <v>0</v>
      </c>
      <c r="BF5">
        <v>-0.2035703</v>
      </c>
      <c r="BG5">
        <v>-0.1879446</v>
      </c>
      <c r="BH5">
        <v>-0.1069016</v>
      </c>
      <c r="BI5">
        <v>-0.0280763</v>
      </c>
      <c r="BJ5">
        <v>-0.1642965</v>
      </c>
      <c r="BK5">
        <v>-0.1031778</v>
      </c>
      <c r="BL5">
        <v>-0.1522069</v>
      </c>
      <c r="BM5">
        <v>-0.1202145</v>
      </c>
      <c r="BN5">
        <v>0</v>
      </c>
      <c r="BO5">
        <v>0</v>
      </c>
      <c r="BP5">
        <v>-0.201611</v>
      </c>
      <c r="BQ5">
        <v>-0.1879718</v>
      </c>
      <c r="BR5">
        <v>-0.1048457</v>
      </c>
      <c r="BS5">
        <v>-0.0290019</v>
      </c>
      <c r="BT5">
        <v>-0.1578451</v>
      </c>
      <c r="BU5">
        <v>-0.0968005</v>
      </c>
      <c r="BV5">
        <v>-0.1458754</v>
      </c>
      <c r="BW5">
        <v>-0.1144418</v>
      </c>
      <c r="BX5">
        <v>0</v>
      </c>
      <c r="BY5">
        <v>0</v>
      </c>
      <c r="BZ5">
        <v>-0.1929452</v>
      </c>
      <c r="CA5">
        <v>-0.181881</v>
      </c>
      <c r="CB5">
        <v>-0.1001406</v>
      </c>
      <c r="CC5">
        <v>-0.0242534</v>
      </c>
      <c r="CD5">
        <v>-0.1717884</v>
      </c>
      <c r="CE5">
        <v>-0.1069199</v>
      </c>
      <c r="CF5">
        <v>-0.1544977</v>
      </c>
      <c r="CG5">
        <v>-0.1272841</v>
      </c>
      <c r="CH5">
        <v>0</v>
      </c>
      <c r="CI5">
        <v>0</v>
      </c>
      <c r="CJ5">
        <v>-0.2114148</v>
      </c>
      <c r="CK5">
        <v>-0.1979722</v>
      </c>
      <c r="CL5">
        <v>-0.1062861</v>
      </c>
      <c r="CM5">
        <v>-0.0320627</v>
      </c>
      <c r="CN5">
        <v>-0.1617147</v>
      </c>
      <c r="CO5">
        <v>-0.1015427</v>
      </c>
      <c r="CP5">
        <v>-0.1453525</v>
      </c>
      <c r="CQ5">
        <v>-0.1215297</v>
      </c>
      <c r="CR5">
        <v>0</v>
      </c>
      <c r="CS5">
        <v>0</v>
      </c>
      <c r="CT5">
        <v>-0.1993519</v>
      </c>
      <c r="CU5">
        <v>-0.1913328</v>
      </c>
      <c r="CV5">
        <v>-0.0989622</v>
      </c>
      <c r="CW5">
        <v>-0.0287694</v>
      </c>
    </row>
    <row r="6" spans="1:101" x14ac:dyDescent="0.25">
      <c r="A6" t="s">
        <v>53</v>
      </c>
      <c r="B6">
        <v>-0.2394003</v>
      </c>
      <c r="C6">
        <v>-0.4347345</v>
      </c>
      <c r="D6">
        <v>-0.0835358</v>
      </c>
      <c r="E6">
        <v>-0.2837212</v>
      </c>
      <c r="F6">
        <v>-0.4559771</v>
      </c>
      <c r="G6">
        <v>-0.6811466</v>
      </c>
      <c r="H6">
        <v>-0.0881827</v>
      </c>
      <c r="I6">
        <v>-0.3174515</v>
      </c>
      <c r="J6">
        <v>-0.113078</v>
      </c>
      <c r="K6">
        <v>-0.268104</v>
      </c>
      <c r="L6">
        <v>-0.2255701</v>
      </c>
      <c r="M6">
        <v>-0.420667</v>
      </c>
      <c r="N6">
        <v>-0.0726677</v>
      </c>
      <c r="O6">
        <v>-0.2719456</v>
      </c>
      <c r="P6">
        <v>-0.4441346</v>
      </c>
      <c r="Q6">
        <v>-0.6693649</v>
      </c>
      <c r="R6">
        <v>-0.0760767</v>
      </c>
      <c r="S6">
        <v>-0.3062719</v>
      </c>
      <c r="T6">
        <v>-0.1018981</v>
      </c>
      <c r="U6">
        <v>-0.2574602</v>
      </c>
      <c r="V6">
        <v>-0.2296681</v>
      </c>
      <c r="W6">
        <v>-0.417713</v>
      </c>
      <c r="X6">
        <v>-0.0736824</v>
      </c>
      <c r="Y6">
        <v>-0.2675288</v>
      </c>
      <c r="Z6">
        <v>-0.4422749</v>
      </c>
      <c r="AA6">
        <v>-0.6568071</v>
      </c>
      <c r="AB6">
        <v>-0.0768509</v>
      </c>
      <c r="AC6">
        <v>-0.3025745</v>
      </c>
      <c r="AD6">
        <v>-0.1017197</v>
      </c>
      <c r="AE6">
        <v>-0.2506963</v>
      </c>
      <c r="AF6">
        <v>-0.2180808</v>
      </c>
      <c r="AG6">
        <v>-0.5186614</v>
      </c>
      <c r="AH6">
        <v>-0.0488757</v>
      </c>
      <c r="AI6">
        <v>-0.363659</v>
      </c>
      <c r="AJ6">
        <v>-0.4495491</v>
      </c>
      <c r="AK6">
        <v>-0.7067398</v>
      </c>
      <c r="AL6">
        <v>-0.0275333</v>
      </c>
      <c r="AM6">
        <v>-0.4378936</v>
      </c>
      <c r="AN6">
        <v>-0.0975923</v>
      </c>
      <c r="AO6">
        <v>-0.2920414</v>
      </c>
      <c r="AP6">
        <v>-0.1933123</v>
      </c>
      <c r="AQ6">
        <v>-0.4921973</v>
      </c>
      <c r="AR6">
        <v>-0.0256648</v>
      </c>
      <c r="AS6">
        <v>-0.3387216</v>
      </c>
      <c r="AT6">
        <v>-0.421474</v>
      </c>
      <c r="AU6">
        <v>-0.6765184</v>
      </c>
      <c r="AV6">
        <v>-0.0021814</v>
      </c>
      <c r="AW6">
        <v>-0.414886</v>
      </c>
      <c r="AX6">
        <v>-0.07474</v>
      </c>
      <c r="AY6">
        <v>-0.2719759</v>
      </c>
      <c r="AZ6">
        <v>-0.1628654</v>
      </c>
      <c r="BA6">
        <v>-0.2140352</v>
      </c>
      <c r="BB6">
        <v>-0.0018093</v>
      </c>
      <c r="BC6">
        <v>-0.0665117</v>
      </c>
      <c r="BD6">
        <v>-0.3919241</v>
      </c>
      <c r="BE6">
        <v>-0.4761564</v>
      </c>
      <c r="BF6">
        <v>-0.0030222</v>
      </c>
      <c r="BG6">
        <v>-0.0971746</v>
      </c>
      <c r="BH6">
        <v>-0.0317106</v>
      </c>
      <c r="BI6">
        <v>-0.047704</v>
      </c>
      <c r="BJ6">
        <v>-0.1483404</v>
      </c>
      <c r="BK6">
        <v>-0.1990714</v>
      </c>
      <c r="BL6">
        <v>0.0092679</v>
      </c>
      <c r="BM6">
        <v>-0.0555561</v>
      </c>
      <c r="BN6">
        <v>-0.3787175</v>
      </c>
      <c r="BO6">
        <v>-0.4633994</v>
      </c>
      <c r="BP6">
        <v>0.0091108</v>
      </c>
      <c r="BQ6">
        <v>-0.0865129</v>
      </c>
      <c r="BR6">
        <v>-0.0207028</v>
      </c>
      <c r="BS6">
        <v>-0.0374802</v>
      </c>
      <c r="BT6">
        <v>-0.1504488</v>
      </c>
      <c r="BU6">
        <v>-0.1923527</v>
      </c>
      <c r="BV6">
        <v>0.0089323</v>
      </c>
      <c r="BW6">
        <v>-0.0474338</v>
      </c>
      <c r="BX6">
        <v>-0.3773697</v>
      </c>
      <c r="BY6">
        <v>-0.4471767</v>
      </c>
      <c r="BZ6">
        <v>0.0092228</v>
      </c>
      <c r="CA6">
        <v>-0.0829203</v>
      </c>
      <c r="CB6">
        <v>-0.0199947</v>
      </c>
      <c r="CC6">
        <v>-0.0283414</v>
      </c>
      <c r="CD6">
        <v>-0.1364536</v>
      </c>
      <c r="CE6">
        <v>-0.2786727</v>
      </c>
      <c r="CF6">
        <v>0.036315</v>
      </c>
      <c r="CG6">
        <v>-0.1275555</v>
      </c>
      <c r="CH6">
        <v>-0.3864727</v>
      </c>
      <c r="CI6">
        <v>-0.4829094</v>
      </c>
      <c r="CJ6">
        <v>0.0615055</v>
      </c>
      <c r="CK6">
        <v>-0.2006683</v>
      </c>
      <c r="CL6">
        <v>-0.0125236</v>
      </c>
      <c r="CM6">
        <v>-0.0508137</v>
      </c>
      <c r="CN6">
        <v>-0.1111241</v>
      </c>
      <c r="CO6">
        <v>-0.2542326</v>
      </c>
      <c r="CP6">
        <v>0.0590925</v>
      </c>
      <c r="CQ6">
        <v>-0.1083968</v>
      </c>
      <c r="CR6">
        <v>-0.3593781</v>
      </c>
      <c r="CS6">
        <v>-0.4547346</v>
      </c>
      <c r="CT6">
        <v>0.085684</v>
      </c>
      <c r="CU6">
        <v>-0.1837089</v>
      </c>
      <c r="CV6">
        <v>0.0088016</v>
      </c>
      <c r="CW6">
        <v>-0.036424</v>
      </c>
    </row>
    <row r="7" spans="1:101" x14ac:dyDescent="0.25">
      <c r="A7" t="s">
        <v>54</v>
      </c>
      <c r="B7">
        <v>0.3600781</v>
      </c>
      <c r="C7">
        <v>0.3362658</v>
      </c>
      <c r="D7">
        <v>0.3592852</v>
      </c>
      <c r="E7">
        <v>0.3239977</v>
      </c>
      <c r="F7">
        <v>0.3576505</v>
      </c>
      <c r="G7">
        <v>0.3634461</v>
      </c>
      <c r="H7">
        <v>0.3547731</v>
      </c>
      <c r="I7">
        <v>0.312778</v>
      </c>
      <c r="J7">
        <v>0.3665217</v>
      </c>
      <c r="K7">
        <v>0.3474634</v>
      </c>
      <c r="L7">
        <v>0.3396649</v>
      </c>
      <c r="M7">
        <v>0.3120151</v>
      </c>
      <c r="N7">
        <v>0.3436259</v>
      </c>
      <c r="O7">
        <v>0.3058719</v>
      </c>
      <c r="P7">
        <v>0.3260323</v>
      </c>
      <c r="Q7">
        <v>0.3290082</v>
      </c>
      <c r="R7">
        <v>0.3374299</v>
      </c>
      <c r="S7">
        <v>0.2951241</v>
      </c>
      <c r="T7">
        <v>0.3513877</v>
      </c>
      <c r="U7">
        <v>0.3284184</v>
      </c>
      <c r="V7">
        <v>0.3465777</v>
      </c>
      <c r="W7">
        <v>0.3288657</v>
      </c>
      <c r="X7">
        <v>0.3480844</v>
      </c>
      <c r="Y7">
        <v>0.3173809</v>
      </c>
      <c r="Z7">
        <v>0.3378691</v>
      </c>
      <c r="AA7">
        <v>0.3524645</v>
      </c>
      <c r="AB7">
        <v>0.339647</v>
      </c>
      <c r="AC7">
        <v>0.3056892</v>
      </c>
      <c r="AD7">
        <v>0.3565955</v>
      </c>
      <c r="AE7">
        <v>0.3408562</v>
      </c>
      <c r="AF7">
        <v>0.3381188</v>
      </c>
      <c r="AG7">
        <v>0.3235653</v>
      </c>
      <c r="AH7">
        <v>0.3402681</v>
      </c>
      <c r="AI7">
        <v>0.3179476</v>
      </c>
      <c r="AJ7">
        <v>0.3457405</v>
      </c>
      <c r="AK7">
        <v>0.350241</v>
      </c>
      <c r="AL7">
        <v>0.3427306</v>
      </c>
      <c r="AM7">
        <v>0.3091281</v>
      </c>
      <c r="AN7">
        <v>0.3471405</v>
      </c>
      <c r="AO7">
        <v>0.3400705</v>
      </c>
      <c r="AP7">
        <v>0.3071217</v>
      </c>
      <c r="AQ7">
        <v>0.2972415</v>
      </c>
      <c r="AR7">
        <v>0.314511</v>
      </c>
      <c r="AS7">
        <v>0.2980252</v>
      </c>
      <c r="AT7">
        <v>0.3002919</v>
      </c>
      <c r="AU7">
        <v>0.3111651</v>
      </c>
      <c r="AV7">
        <v>0.3127753</v>
      </c>
      <c r="AW7">
        <v>0.2880084</v>
      </c>
      <c r="AX7">
        <v>0.3237856</v>
      </c>
      <c r="AY7">
        <v>0.319957</v>
      </c>
      <c r="AZ7">
        <v>0.3299505</v>
      </c>
      <c r="BA7">
        <v>0.2904325</v>
      </c>
      <c r="BB7">
        <v>0.322949</v>
      </c>
      <c r="BC7">
        <v>0.2753037</v>
      </c>
      <c r="BD7">
        <v>0.3142295</v>
      </c>
      <c r="BE7">
        <v>0.30324</v>
      </c>
      <c r="BF7">
        <v>0.3111757</v>
      </c>
      <c r="BG7">
        <v>0.258931</v>
      </c>
      <c r="BH7">
        <v>0.3272741</v>
      </c>
      <c r="BI7">
        <v>0.2925734</v>
      </c>
      <c r="BJ7">
        <v>0.313353</v>
      </c>
      <c r="BK7">
        <v>0.2715816</v>
      </c>
      <c r="BL7">
        <v>0.3113609</v>
      </c>
      <c r="BM7">
        <v>0.2633566</v>
      </c>
      <c r="BN7">
        <v>0.2863393</v>
      </c>
      <c r="BO7">
        <v>0.2742874</v>
      </c>
      <c r="BP7">
        <v>0.2981863</v>
      </c>
      <c r="BQ7">
        <v>0.2477111</v>
      </c>
      <c r="BR7">
        <v>0.3165286</v>
      </c>
      <c r="BS7">
        <v>0.2801207</v>
      </c>
      <c r="BT7">
        <v>0.3173368</v>
      </c>
      <c r="BU7">
        <v>0.2827043</v>
      </c>
      <c r="BV7">
        <v>0.3139029</v>
      </c>
      <c r="BW7">
        <v>0.2691281</v>
      </c>
      <c r="BX7">
        <v>0.295316</v>
      </c>
      <c r="BY7">
        <v>0.2910152</v>
      </c>
      <c r="BZ7">
        <v>0.298244</v>
      </c>
      <c r="CA7">
        <v>0.2534596</v>
      </c>
      <c r="CB7">
        <v>0.3198382</v>
      </c>
      <c r="CC7">
        <v>0.2870641</v>
      </c>
      <c r="CD7">
        <v>0.3074443</v>
      </c>
      <c r="CE7">
        <v>0.2729256</v>
      </c>
      <c r="CF7">
        <v>0.3049229</v>
      </c>
      <c r="CG7">
        <v>0.2659339</v>
      </c>
      <c r="CH7">
        <v>0.301876</v>
      </c>
      <c r="CI7">
        <v>0.2843569</v>
      </c>
      <c r="CJ7">
        <v>0.3002582</v>
      </c>
      <c r="CK7">
        <v>0.253011</v>
      </c>
      <c r="CL7">
        <v>0.3097278</v>
      </c>
      <c r="CM7">
        <v>0.2836198</v>
      </c>
      <c r="CN7">
        <v>0.282946</v>
      </c>
      <c r="CO7">
        <v>0.2549679</v>
      </c>
      <c r="CP7">
        <v>0.2862862</v>
      </c>
      <c r="CQ7">
        <v>0.2555179</v>
      </c>
      <c r="CR7">
        <v>0.2628556</v>
      </c>
      <c r="CS7">
        <v>0.2527602</v>
      </c>
      <c r="CT7">
        <v>0.2781393</v>
      </c>
      <c r="CU7">
        <v>0.2417551</v>
      </c>
      <c r="CV7">
        <v>0.2940083</v>
      </c>
      <c r="CW7">
        <v>0.2733756</v>
      </c>
    </row>
    <row r="8" spans="1:101" x14ac:dyDescent="0.25">
      <c r="A8" t="s">
        <v>20</v>
      </c>
      <c r="B8">
        <v>0.8667604</v>
      </c>
      <c r="C8">
        <v>0.7692857</v>
      </c>
      <c r="D8">
        <v>0.8348585</v>
      </c>
      <c r="E8">
        <v>0.7189597</v>
      </c>
      <c r="F8">
        <v>1.038346</v>
      </c>
      <c r="G8">
        <v>0.923776</v>
      </c>
      <c r="H8">
        <v>0.9045358</v>
      </c>
      <c r="I8">
        <v>0.7485249</v>
      </c>
      <c r="J8">
        <v>0.8013721</v>
      </c>
      <c r="K8">
        <v>0.684699</v>
      </c>
      <c r="L8">
        <v>0.8047515</v>
      </c>
      <c r="M8">
        <v>0.698521</v>
      </c>
      <c r="N8">
        <v>0.7773094</v>
      </c>
      <c r="O8">
        <v>0.6600631</v>
      </c>
      <c r="P8">
        <v>0.9611365</v>
      </c>
      <c r="Q8">
        <v>0.8377655</v>
      </c>
      <c r="R8">
        <v>0.8515443</v>
      </c>
      <c r="S8">
        <v>0.6940439</v>
      </c>
      <c r="T8">
        <v>0.7371897</v>
      </c>
      <c r="U8">
        <v>0.6166399</v>
      </c>
      <c r="V8">
        <v>0.5366241</v>
      </c>
      <c r="W8">
        <v>0.4759471</v>
      </c>
      <c r="X8">
        <v>0.5112951</v>
      </c>
      <c r="Y8">
        <v>0.432604</v>
      </c>
      <c r="Z8">
        <v>0.681284</v>
      </c>
      <c r="AA8">
        <v>0.5849752</v>
      </c>
      <c r="AB8">
        <v>0.5632228</v>
      </c>
      <c r="AC8">
        <v>0.4874841</v>
      </c>
      <c r="AD8">
        <v>0.4609555</v>
      </c>
      <c r="AE8">
        <v>0.35355</v>
      </c>
      <c r="AF8">
        <v>0.8624372</v>
      </c>
      <c r="AG8">
        <v>0.7722496</v>
      </c>
      <c r="AH8">
        <v>0.838022</v>
      </c>
      <c r="AI8">
        <v>0.7156422</v>
      </c>
      <c r="AJ8">
        <v>1.02632</v>
      </c>
      <c r="AK8">
        <v>0.9252453</v>
      </c>
      <c r="AL8">
        <v>0.8984391</v>
      </c>
      <c r="AM8">
        <v>0.761924</v>
      </c>
      <c r="AN8">
        <v>0.8069261</v>
      </c>
      <c r="AO8">
        <v>0.6577977</v>
      </c>
      <c r="AP8">
        <v>0.496753</v>
      </c>
      <c r="AQ8">
        <v>0.4527054</v>
      </c>
      <c r="AR8">
        <v>0.4799217</v>
      </c>
      <c r="AS8">
        <v>0.399583</v>
      </c>
      <c r="AT8">
        <v>0.6170359</v>
      </c>
      <c r="AU8">
        <v>0.5535052</v>
      </c>
      <c r="AV8">
        <v>0.523075</v>
      </c>
      <c r="AW8">
        <v>0.4937277</v>
      </c>
      <c r="AX8">
        <v>0.4441471</v>
      </c>
      <c r="AY8">
        <v>0.2728292</v>
      </c>
      <c r="AZ8">
        <v>0.6793894</v>
      </c>
      <c r="BA8">
        <v>0.5331276</v>
      </c>
      <c r="BB8">
        <v>0.6296707</v>
      </c>
      <c r="BC8">
        <v>0.4790257</v>
      </c>
      <c r="BD8">
        <v>0.8330787</v>
      </c>
      <c r="BE8">
        <v>0.6840338</v>
      </c>
      <c r="BF8">
        <v>0.6803247</v>
      </c>
      <c r="BG8">
        <v>0.4956463</v>
      </c>
      <c r="BH8">
        <v>0.5841726</v>
      </c>
      <c r="BI8">
        <v>0.4236823</v>
      </c>
      <c r="BJ8">
        <v>0.6253766</v>
      </c>
      <c r="BK8">
        <v>0.4754637</v>
      </c>
      <c r="BL8">
        <v>0.581256</v>
      </c>
      <c r="BM8">
        <v>0.4362036</v>
      </c>
      <c r="BN8">
        <v>0.7631221</v>
      </c>
      <c r="BO8">
        <v>0.612208</v>
      </c>
      <c r="BP8">
        <v>0.6378172</v>
      </c>
      <c r="BQ8">
        <v>0.4587997</v>
      </c>
      <c r="BR8">
        <v>0.530582</v>
      </c>
      <c r="BS8">
        <v>0.3729179</v>
      </c>
      <c r="BT8">
        <v>0.4314738</v>
      </c>
      <c r="BU8">
        <v>0.3417152</v>
      </c>
      <c r="BV8">
        <v>0.386281</v>
      </c>
      <c r="BW8">
        <v>0.2859773</v>
      </c>
      <c r="BX8">
        <v>0.5681692</v>
      </c>
      <c r="BY8">
        <v>0.4507242</v>
      </c>
      <c r="BZ8">
        <v>0.4210289</v>
      </c>
      <c r="CA8">
        <v>0.3298202</v>
      </c>
      <c r="CB8">
        <v>0.3270964</v>
      </c>
      <c r="CC8">
        <v>0.1894407</v>
      </c>
      <c r="CD8">
        <v>0.6709275</v>
      </c>
      <c r="CE8">
        <v>0.5279006</v>
      </c>
      <c r="CF8">
        <v>0.6344794</v>
      </c>
      <c r="CG8">
        <v>0.4676531</v>
      </c>
      <c r="CH8">
        <v>0.8162909</v>
      </c>
      <c r="CI8">
        <v>0.6827667</v>
      </c>
      <c r="CJ8">
        <v>0.6732723</v>
      </c>
      <c r="CK8">
        <v>0.5076949</v>
      </c>
      <c r="CL8">
        <v>0.5894313</v>
      </c>
      <c r="CM8">
        <v>0.3944883</v>
      </c>
      <c r="CN8">
        <v>0.4004069</v>
      </c>
      <c r="CO8">
        <v>0.333835</v>
      </c>
      <c r="CP8">
        <v>0.3669136</v>
      </c>
      <c r="CQ8">
        <v>0.2696998</v>
      </c>
      <c r="CR8">
        <v>0.5113472</v>
      </c>
      <c r="CS8">
        <v>0.4385384</v>
      </c>
      <c r="CT8">
        <v>0.3939798</v>
      </c>
      <c r="CU8">
        <v>0.3599971</v>
      </c>
      <c r="CV8">
        <v>0.323036</v>
      </c>
      <c r="CW8">
        <v>0.1287781</v>
      </c>
    </row>
    <row r="9" spans="1:101" x14ac:dyDescent="0.25">
      <c r="A9" t="s">
        <v>23</v>
      </c>
      <c r="B9">
        <v>0.5360739</v>
      </c>
      <c r="C9">
        <v>0.4386871</v>
      </c>
      <c r="D9">
        <v>0.4831078</v>
      </c>
      <c r="E9">
        <v>0.3956973</v>
      </c>
      <c r="F9">
        <v>0.583916</v>
      </c>
      <c r="G9">
        <v>0.5023736</v>
      </c>
      <c r="H9">
        <v>0.5410917</v>
      </c>
      <c r="I9">
        <v>0.3912047</v>
      </c>
      <c r="J9">
        <v>0.4187039</v>
      </c>
      <c r="K9">
        <v>0.3874844</v>
      </c>
      <c r="L9">
        <v>0.5285338</v>
      </c>
      <c r="M9">
        <v>0.4314669</v>
      </c>
      <c r="N9">
        <v>0.4746662</v>
      </c>
      <c r="O9">
        <v>0.3884022</v>
      </c>
      <c r="P9">
        <v>0.5755787</v>
      </c>
      <c r="Q9">
        <v>0.4978917</v>
      </c>
      <c r="R9">
        <v>0.5327847</v>
      </c>
      <c r="S9">
        <v>0.3853768</v>
      </c>
      <c r="T9">
        <v>0.4124697</v>
      </c>
      <c r="U9">
        <v>0.3835512</v>
      </c>
      <c r="V9">
        <v>0.5411682</v>
      </c>
      <c r="W9">
        <v>0.4385663</v>
      </c>
      <c r="X9">
        <v>0.4880292</v>
      </c>
      <c r="Y9">
        <v>0.3958842</v>
      </c>
      <c r="Z9">
        <v>0.5886005</v>
      </c>
      <c r="AA9">
        <v>0.5014014</v>
      </c>
      <c r="AB9">
        <v>0.5478</v>
      </c>
      <c r="AC9">
        <v>0.3942456</v>
      </c>
      <c r="AD9">
        <v>0.4198301</v>
      </c>
      <c r="AE9">
        <v>0.3854904</v>
      </c>
      <c r="AF9">
        <v>0.4663953</v>
      </c>
      <c r="AG9">
        <v>0.3761129</v>
      </c>
      <c r="AH9">
        <v>0.4064592</v>
      </c>
      <c r="AI9">
        <v>0.3404477</v>
      </c>
      <c r="AJ9">
        <v>0.5371646</v>
      </c>
      <c r="AK9">
        <v>0.4364765</v>
      </c>
      <c r="AL9">
        <v>0.4576379</v>
      </c>
      <c r="AM9">
        <v>0.3312286</v>
      </c>
      <c r="AN9">
        <v>0.3665732</v>
      </c>
      <c r="AO9">
        <v>0.3475259</v>
      </c>
      <c r="AP9">
        <v>0.466605</v>
      </c>
      <c r="AQ9">
        <v>0.3726641</v>
      </c>
      <c r="AR9">
        <v>0.4062049</v>
      </c>
      <c r="AS9">
        <v>0.3379111</v>
      </c>
      <c r="AT9">
        <v>0.5380269</v>
      </c>
      <c r="AU9">
        <v>0.4326811</v>
      </c>
      <c r="AV9">
        <v>0.4594228</v>
      </c>
      <c r="AW9">
        <v>0.3326075</v>
      </c>
      <c r="AX9">
        <v>0.3636951</v>
      </c>
      <c r="AY9">
        <v>0.3426763</v>
      </c>
      <c r="AZ9">
        <v>0.3196112</v>
      </c>
      <c r="BA9">
        <v>0.2141914</v>
      </c>
      <c r="BB9">
        <v>0.268292</v>
      </c>
      <c r="BC9">
        <v>0.1782635</v>
      </c>
      <c r="BD9">
        <v>0.3438651</v>
      </c>
      <c r="BE9">
        <v>0.2656273</v>
      </c>
      <c r="BF9">
        <v>0.3215313</v>
      </c>
      <c r="BG9">
        <v>0.1728844</v>
      </c>
      <c r="BH9">
        <v>0.2045681</v>
      </c>
      <c r="BI9">
        <v>0.1675238</v>
      </c>
      <c r="BJ9">
        <v>0.3147172</v>
      </c>
      <c r="BK9">
        <v>0.2069672</v>
      </c>
      <c r="BL9">
        <v>0.263167</v>
      </c>
      <c r="BM9">
        <v>0.1716233</v>
      </c>
      <c r="BN9">
        <v>0.3355843</v>
      </c>
      <c r="BO9">
        <v>0.2614987</v>
      </c>
      <c r="BP9">
        <v>0.3162011</v>
      </c>
      <c r="BQ9">
        <v>0.1677282</v>
      </c>
      <c r="BR9">
        <v>0.2019636</v>
      </c>
      <c r="BS9">
        <v>0.1649756</v>
      </c>
      <c r="BT9">
        <v>0.3209399</v>
      </c>
      <c r="BU9">
        <v>0.2105272</v>
      </c>
      <c r="BV9">
        <v>0.2714309</v>
      </c>
      <c r="BW9">
        <v>0.1759553</v>
      </c>
      <c r="BX9">
        <v>0.3449139</v>
      </c>
      <c r="BY9">
        <v>0.259585</v>
      </c>
      <c r="BZ9">
        <v>0.3254237</v>
      </c>
      <c r="CA9">
        <v>0.1773379</v>
      </c>
      <c r="CB9">
        <v>0.2039542</v>
      </c>
      <c r="CC9">
        <v>0.1632278</v>
      </c>
      <c r="CD9">
        <v>0.2897728</v>
      </c>
      <c r="CE9">
        <v>0.1878949</v>
      </c>
      <c r="CF9">
        <v>0.234514</v>
      </c>
      <c r="CG9">
        <v>0.1610104</v>
      </c>
      <c r="CH9">
        <v>0.3449647</v>
      </c>
      <c r="CI9">
        <v>0.2406677</v>
      </c>
      <c r="CJ9">
        <v>0.2797966</v>
      </c>
      <c r="CK9">
        <v>0.1515368</v>
      </c>
      <c r="CL9">
        <v>0.1937933</v>
      </c>
      <c r="CM9">
        <v>0.1687114</v>
      </c>
      <c r="CN9">
        <v>0.2918701</v>
      </c>
      <c r="CO9">
        <v>0.1873833</v>
      </c>
      <c r="CP9">
        <v>0.2354695</v>
      </c>
      <c r="CQ9">
        <v>0.1628432</v>
      </c>
      <c r="CR9">
        <v>0.347344</v>
      </c>
      <c r="CS9">
        <v>0.2397952</v>
      </c>
      <c r="CT9">
        <v>0.2832155</v>
      </c>
      <c r="CU9">
        <v>0.1581048</v>
      </c>
      <c r="CV9">
        <v>0.1925302</v>
      </c>
      <c r="CW9">
        <v>0.1683627</v>
      </c>
    </row>
    <row r="10" spans="1:101" x14ac:dyDescent="0.25">
      <c r="A10" t="s">
        <v>55</v>
      </c>
      <c r="B10">
        <v>0</v>
      </c>
      <c r="C10">
        <v>0</v>
      </c>
      <c r="D10">
        <v>0</v>
      </c>
      <c r="E10">
        <v>0</v>
      </c>
      <c r="F10">
        <v>-0.0072294</v>
      </c>
      <c r="G10">
        <v>-0.0485841</v>
      </c>
      <c r="H10">
        <v>0</v>
      </c>
      <c r="I10">
        <v>0</v>
      </c>
      <c r="J10">
        <v>0</v>
      </c>
      <c r="K10">
        <v>0</v>
      </c>
      <c r="L10">
        <v>0</v>
      </c>
      <c r="M10">
        <v>0</v>
      </c>
      <c r="N10">
        <v>0</v>
      </c>
      <c r="O10">
        <v>0</v>
      </c>
      <c r="P10">
        <v>0.0008831</v>
      </c>
      <c r="Q10">
        <v>-0.042749</v>
      </c>
      <c r="R10">
        <v>0</v>
      </c>
      <c r="S10">
        <v>0</v>
      </c>
      <c r="T10">
        <v>0</v>
      </c>
      <c r="U10">
        <v>0</v>
      </c>
      <c r="V10">
        <v>0</v>
      </c>
      <c r="W10">
        <v>0</v>
      </c>
      <c r="X10">
        <v>0</v>
      </c>
      <c r="Y10">
        <v>0</v>
      </c>
      <c r="Z10">
        <v>-0.0148657</v>
      </c>
      <c r="AA10">
        <v>-0.0512352</v>
      </c>
      <c r="AB10">
        <v>0</v>
      </c>
      <c r="AC10">
        <v>0</v>
      </c>
      <c r="AD10">
        <v>0</v>
      </c>
      <c r="AE10">
        <v>0</v>
      </c>
      <c r="AF10">
        <v>0</v>
      </c>
      <c r="AG10">
        <v>0</v>
      </c>
      <c r="AH10">
        <v>0</v>
      </c>
      <c r="AI10">
        <v>0</v>
      </c>
      <c r="AJ10">
        <v>-0.0168447</v>
      </c>
      <c r="AK10">
        <v>-0.0866297</v>
      </c>
      <c r="AL10">
        <v>0</v>
      </c>
      <c r="AM10">
        <v>0</v>
      </c>
      <c r="AN10">
        <v>0</v>
      </c>
      <c r="AO10">
        <v>0</v>
      </c>
      <c r="AP10">
        <v>0</v>
      </c>
      <c r="AQ10">
        <v>0</v>
      </c>
      <c r="AR10">
        <v>0</v>
      </c>
      <c r="AS10">
        <v>0</v>
      </c>
      <c r="AT10">
        <v>-0.0191335</v>
      </c>
      <c r="AU10">
        <v>-0.0854286</v>
      </c>
      <c r="AV10">
        <v>0</v>
      </c>
      <c r="AW10">
        <v>0</v>
      </c>
      <c r="AX10">
        <v>0</v>
      </c>
      <c r="AY10">
        <v>0</v>
      </c>
      <c r="AZ10">
        <v>0</v>
      </c>
      <c r="BA10">
        <v>0</v>
      </c>
      <c r="BB10">
        <v>0</v>
      </c>
      <c r="BC10">
        <v>0</v>
      </c>
      <c r="BD10">
        <v>0.0594874</v>
      </c>
      <c r="BE10">
        <v>0.0833107</v>
      </c>
      <c r="BF10">
        <v>0</v>
      </c>
      <c r="BG10">
        <v>0</v>
      </c>
      <c r="BH10">
        <v>0</v>
      </c>
      <c r="BI10">
        <v>0</v>
      </c>
      <c r="BJ10">
        <v>0</v>
      </c>
      <c r="BK10">
        <v>0</v>
      </c>
      <c r="BL10">
        <v>0</v>
      </c>
      <c r="BM10">
        <v>0</v>
      </c>
      <c r="BN10">
        <v>0.0677084</v>
      </c>
      <c r="BO10">
        <v>0.0895459</v>
      </c>
      <c r="BP10">
        <v>0</v>
      </c>
      <c r="BQ10">
        <v>0</v>
      </c>
      <c r="BR10">
        <v>0</v>
      </c>
      <c r="BS10">
        <v>0</v>
      </c>
      <c r="BT10">
        <v>0</v>
      </c>
      <c r="BU10">
        <v>0</v>
      </c>
      <c r="BV10">
        <v>0</v>
      </c>
      <c r="BW10">
        <v>0</v>
      </c>
      <c r="BX10">
        <v>0.0540094</v>
      </c>
      <c r="BY10">
        <v>0.0850676</v>
      </c>
      <c r="BZ10">
        <v>0</v>
      </c>
      <c r="CA10">
        <v>0</v>
      </c>
      <c r="CB10">
        <v>0</v>
      </c>
      <c r="CC10">
        <v>0</v>
      </c>
      <c r="CD10">
        <v>0</v>
      </c>
      <c r="CE10">
        <v>0</v>
      </c>
      <c r="CF10">
        <v>0</v>
      </c>
      <c r="CG10">
        <v>0</v>
      </c>
      <c r="CH10">
        <v>0.0574975</v>
      </c>
      <c r="CI10">
        <v>0.0618028</v>
      </c>
      <c r="CJ10">
        <v>0</v>
      </c>
      <c r="CK10">
        <v>0</v>
      </c>
      <c r="CL10">
        <v>0</v>
      </c>
      <c r="CM10">
        <v>0</v>
      </c>
      <c r="CN10">
        <v>0</v>
      </c>
      <c r="CO10">
        <v>0</v>
      </c>
      <c r="CP10">
        <v>0</v>
      </c>
      <c r="CQ10">
        <v>0</v>
      </c>
      <c r="CR10">
        <v>0.0564656</v>
      </c>
      <c r="CS10">
        <v>0.0640931</v>
      </c>
      <c r="CT10">
        <v>0</v>
      </c>
      <c r="CU10">
        <v>0</v>
      </c>
      <c r="CV10">
        <v>0</v>
      </c>
      <c r="CW10">
        <v>0</v>
      </c>
    </row>
    <row r="11" spans="1:101" x14ac:dyDescent="0.25">
      <c r="A11" t="s">
        <v>56</v>
      </c>
      <c r="B11">
        <v>0</v>
      </c>
      <c r="C11">
        <v>0</v>
      </c>
      <c r="D11">
        <v>0</v>
      </c>
      <c r="E11">
        <v>0</v>
      </c>
      <c r="F11">
        <v>0.2997706</v>
      </c>
      <c r="G11">
        <v>0.3726929</v>
      </c>
      <c r="H11">
        <v>0</v>
      </c>
      <c r="I11">
        <v>0</v>
      </c>
      <c r="J11">
        <v>0</v>
      </c>
      <c r="K11">
        <v>0</v>
      </c>
      <c r="L11">
        <v>0</v>
      </c>
      <c r="M11">
        <v>0</v>
      </c>
      <c r="N11">
        <v>0</v>
      </c>
      <c r="O11">
        <v>0</v>
      </c>
      <c r="P11">
        <v>0.2988964</v>
      </c>
      <c r="Q11">
        <v>0.3624165</v>
      </c>
      <c r="R11">
        <v>0</v>
      </c>
      <c r="S11">
        <v>0</v>
      </c>
      <c r="T11">
        <v>0</v>
      </c>
      <c r="U11">
        <v>0</v>
      </c>
      <c r="V11">
        <v>0</v>
      </c>
      <c r="W11">
        <v>0</v>
      </c>
      <c r="X11">
        <v>0</v>
      </c>
      <c r="Y11">
        <v>0</v>
      </c>
      <c r="Z11">
        <v>0.2958374</v>
      </c>
      <c r="AA11">
        <v>0.365294</v>
      </c>
      <c r="AB11">
        <v>0</v>
      </c>
      <c r="AC11">
        <v>0</v>
      </c>
      <c r="AD11">
        <v>0</v>
      </c>
      <c r="AE11">
        <v>0</v>
      </c>
      <c r="AF11">
        <v>0</v>
      </c>
      <c r="AG11">
        <v>0</v>
      </c>
      <c r="AH11">
        <v>0</v>
      </c>
      <c r="AI11">
        <v>0</v>
      </c>
      <c r="AJ11">
        <v>0.2805126</v>
      </c>
      <c r="AK11">
        <v>0.3706765</v>
      </c>
      <c r="AL11">
        <v>0</v>
      </c>
      <c r="AM11">
        <v>0</v>
      </c>
      <c r="AN11">
        <v>0</v>
      </c>
      <c r="AO11">
        <v>0</v>
      </c>
      <c r="AP11">
        <v>0</v>
      </c>
      <c r="AQ11">
        <v>0</v>
      </c>
      <c r="AR11">
        <v>0</v>
      </c>
      <c r="AS11">
        <v>0</v>
      </c>
      <c r="AT11">
        <v>0.2764302</v>
      </c>
      <c r="AU11">
        <v>0.3551736</v>
      </c>
      <c r="AV11">
        <v>0</v>
      </c>
      <c r="AW11">
        <v>0</v>
      </c>
      <c r="AX11">
        <v>0</v>
      </c>
      <c r="AY11">
        <v>0</v>
      </c>
      <c r="AZ11">
        <v>0</v>
      </c>
      <c r="BA11">
        <v>0</v>
      </c>
      <c r="BB11">
        <v>0</v>
      </c>
      <c r="BC11">
        <v>0</v>
      </c>
      <c r="BD11">
        <v>0.2525536</v>
      </c>
      <c r="BE11">
        <v>0.26999</v>
      </c>
      <c r="BF11">
        <v>0</v>
      </c>
      <c r="BG11">
        <v>0</v>
      </c>
      <c r="BH11">
        <v>0</v>
      </c>
      <c r="BI11">
        <v>0</v>
      </c>
      <c r="BJ11">
        <v>0</v>
      </c>
      <c r="BK11">
        <v>0</v>
      </c>
      <c r="BL11">
        <v>0</v>
      </c>
      <c r="BM11">
        <v>0</v>
      </c>
      <c r="BN11">
        <v>0.2517238</v>
      </c>
      <c r="BO11">
        <v>0.2632424</v>
      </c>
      <c r="BP11">
        <v>0</v>
      </c>
      <c r="BQ11">
        <v>0</v>
      </c>
      <c r="BR11">
        <v>0</v>
      </c>
      <c r="BS11">
        <v>0</v>
      </c>
      <c r="BT11">
        <v>0</v>
      </c>
      <c r="BU11">
        <v>0</v>
      </c>
      <c r="BV11">
        <v>0</v>
      </c>
      <c r="BW11">
        <v>0</v>
      </c>
      <c r="BX11">
        <v>0.249767</v>
      </c>
      <c r="BY11">
        <v>0.2637222</v>
      </c>
      <c r="BZ11">
        <v>0</v>
      </c>
      <c r="CA11">
        <v>0</v>
      </c>
      <c r="CB11">
        <v>0</v>
      </c>
      <c r="CC11">
        <v>0</v>
      </c>
      <c r="CD11">
        <v>0</v>
      </c>
      <c r="CE11">
        <v>0</v>
      </c>
      <c r="CF11">
        <v>0</v>
      </c>
      <c r="CG11">
        <v>0</v>
      </c>
      <c r="CH11">
        <v>0.2367826</v>
      </c>
      <c r="CI11">
        <v>0.2705615</v>
      </c>
      <c r="CJ11">
        <v>0</v>
      </c>
      <c r="CK11">
        <v>0</v>
      </c>
      <c r="CL11">
        <v>0</v>
      </c>
      <c r="CM11">
        <v>0</v>
      </c>
      <c r="CN11">
        <v>0</v>
      </c>
      <c r="CO11">
        <v>0</v>
      </c>
      <c r="CP11">
        <v>0</v>
      </c>
      <c r="CQ11">
        <v>0</v>
      </c>
      <c r="CR11">
        <v>0.2363857</v>
      </c>
      <c r="CS11">
        <v>0.2643081</v>
      </c>
      <c r="CT11">
        <v>0</v>
      </c>
      <c r="CU11">
        <v>0</v>
      </c>
      <c r="CV11">
        <v>0</v>
      </c>
      <c r="CW11">
        <v>0</v>
      </c>
    </row>
    <row r="12" spans="1:101" x14ac:dyDescent="0.25">
      <c r="A12" t="s">
        <v>57</v>
      </c>
      <c r="B12">
        <v>0.6045917</v>
      </c>
      <c r="C12">
        <v>0.5378979</v>
      </c>
      <c r="D12">
        <v>0.4864619</v>
      </c>
      <c r="E12">
        <v>0.3690075</v>
      </c>
      <c r="F12">
        <v>0.7451638</v>
      </c>
      <c r="G12">
        <v>0.6926917</v>
      </c>
      <c r="H12">
        <v>0.5198725</v>
      </c>
      <c r="I12">
        <v>0.376487</v>
      </c>
      <c r="J12">
        <v>0.4539767</v>
      </c>
      <c r="K12">
        <v>0.3877827</v>
      </c>
      <c r="L12">
        <v>0.4803511</v>
      </c>
      <c r="M12">
        <v>0.3841364</v>
      </c>
      <c r="N12">
        <v>0.3824646</v>
      </c>
      <c r="O12">
        <v>0.2466316</v>
      </c>
      <c r="P12">
        <v>0.5915291</v>
      </c>
      <c r="Q12">
        <v>0.5075796</v>
      </c>
      <c r="R12">
        <v>0.4067587</v>
      </c>
      <c r="S12">
        <v>0.2541989</v>
      </c>
      <c r="T12">
        <v>0.3574419</v>
      </c>
      <c r="U12">
        <v>0.2677033</v>
      </c>
      <c r="V12">
        <v>0.5931898</v>
      </c>
      <c r="W12">
        <v>0.5334616</v>
      </c>
      <c r="X12">
        <v>0.4754997</v>
      </c>
      <c r="Y12">
        <v>0.3665014</v>
      </c>
      <c r="Z12">
        <v>0.73447</v>
      </c>
      <c r="AA12">
        <v>0.6892219</v>
      </c>
      <c r="AB12">
        <v>0.5105085</v>
      </c>
      <c r="AC12">
        <v>0.3748008</v>
      </c>
      <c r="AD12">
        <v>0.4436518</v>
      </c>
      <c r="AE12">
        <v>0.3869787</v>
      </c>
      <c r="AF12">
        <v>0.5919004</v>
      </c>
      <c r="AG12">
        <v>0.5180893</v>
      </c>
      <c r="AH12">
        <v>0.4838394</v>
      </c>
      <c r="AI12">
        <v>0.3545754</v>
      </c>
      <c r="AJ12">
        <v>0.7315223</v>
      </c>
      <c r="AK12">
        <v>0.6696768</v>
      </c>
      <c r="AL12">
        <v>0.5195616</v>
      </c>
      <c r="AM12">
        <v>0.3577071</v>
      </c>
      <c r="AN12">
        <v>0.452297</v>
      </c>
      <c r="AO12">
        <v>0.381238</v>
      </c>
      <c r="AP12">
        <v>0.4780697</v>
      </c>
      <c r="AQ12">
        <v>0.3886854</v>
      </c>
      <c r="AR12">
        <v>0.3847744</v>
      </c>
      <c r="AS12">
        <v>0.2582604</v>
      </c>
      <c r="AT12">
        <v>0.5975847</v>
      </c>
      <c r="AU12">
        <v>0.5102245</v>
      </c>
      <c r="AV12">
        <v>0.4173237</v>
      </c>
      <c r="AW12">
        <v>0.2586836</v>
      </c>
      <c r="AX12">
        <v>0.3629529</v>
      </c>
      <c r="AY12">
        <v>0.2907134</v>
      </c>
      <c r="AZ12">
        <v>0.1857101</v>
      </c>
      <c r="BA12">
        <v>0.1155556</v>
      </c>
      <c r="BB12">
        <v>0.100106</v>
      </c>
      <c r="BC12">
        <v>-0.0218789</v>
      </c>
      <c r="BD12">
        <v>0.2981642</v>
      </c>
      <c r="BE12">
        <v>0.2541805</v>
      </c>
      <c r="BF12">
        <v>0.1252615</v>
      </c>
      <c r="BG12">
        <v>-0.0091955</v>
      </c>
      <c r="BH12">
        <v>0.0765812</v>
      </c>
      <c r="BI12">
        <v>-0.0009216</v>
      </c>
      <c r="BJ12">
        <v>0.1094663</v>
      </c>
      <c r="BK12">
        <v>0.0331103</v>
      </c>
      <c r="BL12">
        <v>0.0391726</v>
      </c>
      <c r="BM12">
        <v>-0.0775282</v>
      </c>
      <c r="BN12">
        <v>0.1940067</v>
      </c>
      <c r="BO12">
        <v>0.1430472</v>
      </c>
      <c r="BP12">
        <v>0.0561023</v>
      </c>
      <c r="BQ12">
        <v>-0.0654866</v>
      </c>
      <c r="BR12">
        <v>0.0218821</v>
      </c>
      <c r="BS12">
        <v>-0.0538202</v>
      </c>
      <c r="BT12">
        <v>0.1771435</v>
      </c>
      <c r="BU12">
        <v>0.1113291</v>
      </c>
      <c r="BV12">
        <v>0.0930987</v>
      </c>
      <c r="BW12">
        <v>-0.0242898</v>
      </c>
      <c r="BX12">
        <v>0.2875781</v>
      </c>
      <c r="BY12">
        <v>0.2454706</v>
      </c>
      <c r="BZ12">
        <v>0.1183472</v>
      </c>
      <c r="CA12">
        <v>-0.0059506</v>
      </c>
      <c r="CB12">
        <v>0.0699052</v>
      </c>
      <c r="CC12">
        <v>-0.0027618</v>
      </c>
      <c r="CD12">
        <v>0.1670658</v>
      </c>
      <c r="CE12">
        <v>0.0866569</v>
      </c>
      <c r="CF12">
        <v>0.0898312</v>
      </c>
      <c r="CG12">
        <v>-0.0465144</v>
      </c>
      <c r="CH12">
        <v>0.2790347</v>
      </c>
      <c r="CI12">
        <v>0.2255837</v>
      </c>
      <c r="CJ12">
        <v>0.1137308</v>
      </c>
      <c r="CK12">
        <v>-0.0358612</v>
      </c>
      <c r="CL12">
        <v>0.06519</v>
      </c>
      <c r="CM12">
        <v>-0.0124821</v>
      </c>
      <c r="CN12">
        <v>0.1017102</v>
      </c>
      <c r="CO12">
        <v>0.0246102</v>
      </c>
      <c r="CP12">
        <v>0.0354338</v>
      </c>
      <c r="CQ12">
        <v>-0.077507</v>
      </c>
      <c r="CR12">
        <v>0.1971295</v>
      </c>
      <c r="CS12">
        <v>0.1354588</v>
      </c>
      <c r="CT12">
        <v>0.0585928</v>
      </c>
      <c r="CU12">
        <v>-0.0707959</v>
      </c>
      <c r="CV12">
        <v>0.0206737</v>
      </c>
      <c r="CW12">
        <v>-0.0386502</v>
      </c>
    </row>
    <row r="13" spans="1:101" x14ac:dyDescent="0.25">
      <c r="A13" t="s">
        <v>58</v>
      </c>
      <c r="B13">
        <v>0.0433769</v>
      </c>
      <c r="C13">
        <v>0.0164827</v>
      </c>
      <c r="D13">
        <v>0.0397779</v>
      </c>
      <c r="E13">
        <v>0.0203619</v>
      </c>
      <c r="F13">
        <v>0.0557087</v>
      </c>
      <c r="G13">
        <v>0.0251827</v>
      </c>
      <c r="H13">
        <v>0.0325935</v>
      </c>
      <c r="I13">
        <v>0.0193687</v>
      </c>
      <c r="J13">
        <v>0.0515087</v>
      </c>
      <c r="K13">
        <v>0.0201965</v>
      </c>
      <c r="L13">
        <v>0.0434472</v>
      </c>
      <c r="M13">
        <v>0.009384</v>
      </c>
      <c r="N13">
        <v>0.0394178</v>
      </c>
      <c r="O13">
        <v>0.0151852</v>
      </c>
      <c r="P13">
        <v>0.0556823</v>
      </c>
      <c r="Q13">
        <v>0.0137716</v>
      </c>
      <c r="R13">
        <v>0.0325967</v>
      </c>
      <c r="S13">
        <v>0.0141383</v>
      </c>
      <c r="T13">
        <v>0.0505453</v>
      </c>
      <c r="U13">
        <v>0.0139698</v>
      </c>
      <c r="V13">
        <v>0.0472458</v>
      </c>
      <c r="W13">
        <v>0.0206431</v>
      </c>
      <c r="X13">
        <v>0.0438132</v>
      </c>
      <c r="Y13">
        <v>0.0250243</v>
      </c>
      <c r="Z13">
        <v>0.05926</v>
      </c>
      <c r="AA13">
        <v>0.0292377</v>
      </c>
      <c r="AB13">
        <v>0.0381344</v>
      </c>
      <c r="AC13">
        <v>0.0250407</v>
      </c>
      <c r="AD13">
        <v>0.0544989</v>
      </c>
      <c r="AE13">
        <v>0.0237663</v>
      </c>
      <c r="AF13">
        <v>0.0516821</v>
      </c>
      <c r="AG13">
        <v>0.0118451</v>
      </c>
      <c r="AH13">
        <v>0.0480415</v>
      </c>
      <c r="AI13">
        <v>0.0157875</v>
      </c>
      <c r="AJ13">
        <v>0.0651679</v>
      </c>
      <c r="AK13">
        <v>0.0237374</v>
      </c>
      <c r="AL13">
        <v>0.0352758</v>
      </c>
      <c r="AM13">
        <v>0.0122218</v>
      </c>
      <c r="AN13">
        <v>0.0599795</v>
      </c>
      <c r="AO13">
        <v>0.0221544</v>
      </c>
      <c r="AP13">
        <v>0.0529077</v>
      </c>
      <c r="AQ13">
        <v>0.0081661</v>
      </c>
      <c r="AR13">
        <v>0.0495174</v>
      </c>
      <c r="AS13">
        <v>0.0147769</v>
      </c>
      <c r="AT13">
        <v>0.0654197</v>
      </c>
      <c r="AU13">
        <v>0.015472</v>
      </c>
      <c r="AV13">
        <v>0.0385169</v>
      </c>
      <c r="AW13">
        <v>0.0124978</v>
      </c>
      <c r="AX13">
        <v>0.0603154</v>
      </c>
      <c r="AY13">
        <v>0.0186548</v>
      </c>
      <c r="AZ13">
        <v>0.0553528</v>
      </c>
      <c r="BA13">
        <v>0.0603775</v>
      </c>
      <c r="BB13">
        <v>0.0499663</v>
      </c>
      <c r="BC13">
        <v>0.0602553</v>
      </c>
      <c r="BD13">
        <v>0.0667159</v>
      </c>
      <c r="BE13">
        <v>0.0638923</v>
      </c>
      <c r="BF13">
        <v>0.0414579</v>
      </c>
      <c r="BG13">
        <v>0.0578155</v>
      </c>
      <c r="BH13">
        <v>0.0603226</v>
      </c>
      <c r="BI13">
        <v>0.0575221</v>
      </c>
      <c r="BJ13">
        <v>0.0550705</v>
      </c>
      <c r="BK13">
        <v>0.0540474</v>
      </c>
      <c r="BL13">
        <v>0.0492959</v>
      </c>
      <c r="BM13">
        <v>0.0561236</v>
      </c>
      <c r="BN13">
        <v>0.0664006</v>
      </c>
      <c r="BO13">
        <v>0.0535184</v>
      </c>
      <c r="BP13">
        <v>0.0412012</v>
      </c>
      <c r="BQ13">
        <v>0.0537308</v>
      </c>
      <c r="BR13">
        <v>0.059055</v>
      </c>
      <c r="BS13">
        <v>0.0524689</v>
      </c>
      <c r="BT13">
        <v>0.0582828</v>
      </c>
      <c r="BU13">
        <v>0.0640135</v>
      </c>
      <c r="BV13">
        <v>0.0532216</v>
      </c>
      <c r="BW13">
        <v>0.0644523</v>
      </c>
      <c r="BX13">
        <v>0.0692013</v>
      </c>
      <c r="BY13">
        <v>0.0675649</v>
      </c>
      <c r="BZ13">
        <v>0.0462805</v>
      </c>
      <c r="CA13">
        <v>0.0625623</v>
      </c>
      <c r="CB13">
        <v>0.062555</v>
      </c>
      <c r="CC13">
        <v>0.0605617</v>
      </c>
      <c r="CD13">
        <v>0.0618439</v>
      </c>
      <c r="CE13">
        <v>0.0594948</v>
      </c>
      <c r="CF13">
        <v>0.0564502</v>
      </c>
      <c r="CG13">
        <v>0.0596996</v>
      </c>
      <c r="CH13">
        <v>0.0742645</v>
      </c>
      <c r="CI13">
        <v>0.0653632</v>
      </c>
      <c r="CJ13">
        <v>0.042602</v>
      </c>
      <c r="CK13">
        <v>0.0544152</v>
      </c>
      <c r="CL13">
        <v>0.0674916</v>
      </c>
      <c r="CM13">
        <v>0.0633358</v>
      </c>
      <c r="CN13">
        <v>0.0622643</v>
      </c>
      <c r="CO13">
        <v>0.0552014</v>
      </c>
      <c r="CP13">
        <v>0.0573093</v>
      </c>
      <c r="CQ13">
        <v>0.0583407</v>
      </c>
      <c r="CR13">
        <v>0.0735227</v>
      </c>
      <c r="CS13">
        <v>0.0570689</v>
      </c>
      <c r="CT13">
        <v>0.0452655</v>
      </c>
      <c r="CU13">
        <v>0.054403</v>
      </c>
      <c r="CV13">
        <v>0.0672637</v>
      </c>
      <c r="CW13">
        <v>0.0596336</v>
      </c>
    </row>
    <row r="14" spans="1:101" x14ac:dyDescent="0.25">
      <c r="A14" t="s">
        <v>59</v>
      </c>
      <c r="B14">
        <v>0.3151672</v>
      </c>
      <c r="C14">
        <v>0.288879</v>
      </c>
      <c r="D14">
        <v>0.2265309</v>
      </c>
      <c r="E14">
        <v>0.2036522</v>
      </c>
      <c r="F14">
        <v>0.3534442</v>
      </c>
      <c r="G14">
        <v>0.2980922</v>
      </c>
      <c r="H14">
        <v>0.2010642</v>
      </c>
      <c r="I14">
        <v>0.1588199</v>
      </c>
      <c r="J14">
        <v>0.2494624</v>
      </c>
      <c r="K14">
        <v>0.232963</v>
      </c>
      <c r="L14">
        <v>0.2985207</v>
      </c>
      <c r="M14">
        <v>0.2676494</v>
      </c>
      <c r="N14">
        <v>0.2125182</v>
      </c>
      <c r="O14">
        <v>0.186167</v>
      </c>
      <c r="P14">
        <v>0.3314097</v>
      </c>
      <c r="Q14">
        <v>0.2739963</v>
      </c>
      <c r="R14">
        <v>0.1879265</v>
      </c>
      <c r="S14">
        <v>0.1436559</v>
      </c>
      <c r="T14">
        <v>0.2339584</v>
      </c>
      <c r="U14">
        <v>0.213571</v>
      </c>
      <c r="V14">
        <v>0.3158567</v>
      </c>
      <c r="W14">
        <v>0.2917524</v>
      </c>
      <c r="X14">
        <v>0.2259093</v>
      </c>
      <c r="Y14">
        <v>0.2061158</v>
      </c>
      <c r="Z14">
        <v>0.3543475</v>
      </c>
      <c r="AA14">
        <v>0.3038296</v>
      </c>
      <c r="AB14">
        <v>0.2023093</v>
      </c>
      <c r="AC14">
        <v>0.1616182</v>
      </c>
      <c r="AD14">
        <v>0.2493831</v>
      </c>
      <c r="AE14">
        <v>0.236159</v>
      </c>
      <c r="AF14">
        <v>0.3182166</v>
      </c>
      <c r="AG14">
        <v>0.2634094</v>
      </c>
      <c r="AH14">
        <v>0.2270648</v>
      </c>
      <c r="AI14">
        <v>0.1786233</v>
      </c>
      <c r="AJ14">
        <v>0.3491487</v>
      </c>
      <c r="AK14">
        <v>0.2688352</v>
      </c>
      <c r="AL14">
        <v>0.208945</v>
      </c>
      <c r="AM14">
        <v>0.1225093</v>
      </c>
      <c r="AN14">
        <v>0.2405852</v>
      </c>
      <c r="AO14">
        <v>0.2497899</v>
      </c>
      <c r="AP14">
        <v>0.3034892</v>
      </c>
      <c r="AQ14">
        <v>0.2508052</v>
      </c>
      <c r="AR14">
        <v>0.2133861</v>
      </c>
      <c r="AS14">
        <v>0.1686621</v>
      </c>
      <c r="AT14">
        <v>0.3313614</v>
      </c>
      <c r="AU14">
        <v>0.2570964</v>
      </c>
      <c r="AV14">
        <v>0.198164</v>
      </c>
      <c r="AW14">
        <v>0.1132755</v>
      </c>
      <c r="AX14">
        <v>0.225342</v>
      </c>
      <c r="AY14">
        <v>0.240036</v>
      </c>
      <c r="AZ14">
        <v>0.2894</v>
      </c>
      <c r="BA14">
        <v>0.232714</v>
      </c>
      <c r="BB14">
        <v>0.1875292</v>
      </c>
      <c r="BC14">
        <v>0.1421182</v>
      </c>
      <c r="BD14">
        <v>0.333921</v>
      </c>
      <c r="BE14">
        <v>0.2583631</v>
      </c>
      <c r="BF14">
        <v>0.1561303</v>
      </c>
      <c r="BG14">
        <v>0.0939196</v>
      </c>
      <c r="BH14">
        <v>0.2087816</v>
      </c>
      <c r="BI14">
        <v>0.1685514</v>
      </c>
      <c r="BJ14">
        <v>0.2782433</v>
      </c>
      <c r="BK14">
        <v>0.2189911</v>
      </c>
      <c r="BL14">
        <v>0.1786178</v>
      </c>
      <c r="BM14">
        <v>0.1319331</v>
      </c>
      <c r="BN14">
        <v>0.3171436</v>
      </c>
      <c r="BO14">
        <v>0.2417468</v>
      </c>
      <c r="BP14">
        <v>0.1482267</v>
      </c>
      <c r="BQ14">
        <v>0.0861796</v>
      </c>
      <c r="BR14">
        <v>0.1982863</v>
      </c>
      <c r="BS14">
        <v>0.15643</v>
      </c>
      <c r="BT14">
        <v>0.2888947</v>
      </c>
      <c r="BU14">
        <v>0.2334248</v>
      </c>
      <c r="BV14">
        <v>0.1862181</v>
      </c>
      <c r="BW14">
        <v>0.142874</v>
      </c>
      <c r="BX14">
        <v>0.3334936</v>
      </c>
      <c r="BY14">
        <v>0.2611991</v>
      </c>
      <c r="BZ14">
        <v>0.1565331</v>
      </c>
      <c r="CA14">
        <v>0.0960268</v>
      </c>
      <c r="CB14">
        <v>0.2080978</v>
      </c>
      <c r="CC14">
        <v>0.1700368</v>
      </c>
      <c r="CD14">
        <v>0.2969806</v>
      </c>
      <c r="CE14">
        <v>0.2028246</v>
      </c>
      <c r="CF14">
        <v>0.1933487</v>
      </c>
      <c r="CG14">
        <v>0.1147096</v>
      </c>
      <c r="CH14">
        <v>0.3352935</v>
      </c>
      <c r="CI14">
        <v>0.2263243</v>
      </c>
      <c r="CJ14">
        <v>0.1694184</v>
      </c>
      <c r="CK14">
        <v>0.0561007</v>
      </c>
      <c r="CL14">
        <v>0.2042876</v>
      </c>
      <c r="CM14">
        <v>0.186366</v>
      </c>
      <c r="CN14">
        <v>0.2872416</v>
      </c>
      <c r="CO14">
        <v>0.1979729</v>
      </c>
      <c r="CP14">
        <v>0.1840085</v>
      </c>
      <c r="CQ14">
        <v>0.1120322</v>
      </c>
      <c r="CR14">
        <v>0.3219386</v>
      </c>
      <c r="CS14">
        <v>0.220666</v>
      </c>
      <c r="CT14">
        <v>0.1634427</v>
      </c>
      <c r="CU14">
        <v>0.0539143</v>
      </c>
      <c r="CV14">
        <v>0.1935897</v>
      </c>
      <c r="CW14">
        <v>0.1833799</v>
      </c>
    </row>
    <row r="15" spans="1:101" x14ac:dyDescent="0.25">
      <c r="A15" t="s">
        <v>29</v>
      </c>
      <c r="B15">
        <v>-0.1477655</v>
      </c>
      <c r="C15">
        <v>-0.1337349</v>
      </c>
      <c r="D15">
        <v>-0.0592374</v>
      </c>
      <c r="E15">
        <v>-0.0865581</v>
      </c>
      <c r="F15">
        <v>0</v>
      </c>
      <c r="G15">
        <v>0</v>
      </c>
      <c r="H15">
        <v>-0.036195</v>
      </c>
      <c r="I15">
        <v>-0.0494555</v>
      </c>
      <c r="J15">
        <v>-0.0798829</v>
      </c>
      <c r="K15">
        <v>-0.1178935</v>
      </c>
      <c r="L15">
        <v>-0.1497787</v>
      </c>
      <c r="M15">
        <v>-0.1390966</v>
      </c>
      <c r="N15">
        <v>-0.0603046</v>
      </c>
      <c r="O15">
        <v>-0.0894395</v>
      </c>
      <c r="P15">
        <v>0</v>
      </c>
      <c r="Q15">
        <v>0</v>
      </c>
      <c r="R15">
        <v>-0.036242</v>
      </c>
      <c r="S15">
        <v>-0.051752</v>
      </c>
      <c r="T15">
        <v>-0.0828306</v>
      </c>
      <c r="U15">
        <v>-0.1219907</v>
      </c>
      <c r="V15">
        <v>-0.1535174</v>
      </c>
      <c r="W15">
        <v>-0.1383313</v>
      </c>
      <c r="X15">
        <v>-0.0648872</v>
      </c>
      <c r="Y15">
        <v>-0.0899988</v>
      </c>
      <c r="Z15">
        <v>0</v>
      </c>
      <c r="AA15">
        <v>0</v>
      </c>
      <c r="AB15">
        <v>-0.0425927</v>
      </c>
      <c r="AC15">
        <v>-0.0513733</v>
      </c>
      <c r="AD15">
        <v>-0.0859775</v>
      </c>
      <c r="AE15">
        <v>-0.1241976</v>
      </c>
      <c r="AF15">
        <v>-0.1460816</v>
      </c>
      <c r="AG15">
        <v>-0.1455263</v>
      </c>
      <c r="AH15">
        <v>-0.0585626</v>
      </c>
      <c r="AI15">
        <v>-0.1018269</v>
      </c>
      <c r="AJ15">
        <v>0</v>
      </c>
      <c r="AK15">
        <v>0</v>
      </c>
      <c r="AL15">
        <v>-0.0468689</v>
      </c>
      <c r="AM15">
        <v>-0.0793738</v>
      </c>
      <c r="AN15">
        <v>-0.0793314</v>
      </c>
      <c r="AO15">
        <v>-0.1131643</v>
      </c>
      <c r="AP15">
        <v>-0.1556524</v>
      </c>
      <c r="AQ15">
        <v>-0.1538484</v>
      </c>
      <c r="AR15">
        <v>-0.0678552</v>
      </c>
      <c r="AS15">
        <v>-0.1073619</v>
      </c>
      <c r="AT15">
        <v>0</v>
      </c>
      <c r="AU15">
        <v>0</v>
      </c>
      <c r="AV15">
        <v>-0.0557405</v>
      </c>
      <c r="AW15">
        <v>-0.0823542</v>
      </c>
      <c r="AX15">
        <v>-0.0885632</v>
      </c>
      <c r="AY15">
        <v>-0.1218938</v>
      </c>
      <c r="AZ15">
        <v>-0.075688</v>
      </c>
      <c r="BA15">
        <v>-0.0272112</v>
      </c>
      <c r="BB15">
        <v>0.0152476</v>
      </c>
      <c r="BC15">
        <v>0.0135996</v>
      </c>
      <c r="BD15">
        <v>0</v>
      </c>
      <c r="BE15">
        <v>0</v>
      </c>
      <c r="BF15">
        <v>0.0384138</v>
      </c>
      <c r="BG15">
        <v>0.0508921</v>
      </c>
      <c r="BH15">
        <v>-0.0095137</v>
      </c>
      <c r="BI15">
        <v>-0.020829</v>
      </c>
      <c r="BJ15">
        <v>-0.0786239</v>
      </c>
      <c r="BK15">
        <v>-0.0331044</v>
      </c>
      <c r="BL15">
        <v>0.0131058</v>
      </c>
      <c r="BM15">
        <v>0.0102428</v>
      </c>
      <c r="BN15">
        <v>0</v>
      </c>
      <c r="BO15">
        <v>0</v>
      </c>
      <c r="BP15">
        <v>0.0374798</v>
      </c>
      <c r="BQ15">
        <v>0.0482722</v>
      </c>
      <c r="BR15">
        <v>-0.0133205</v>
      </c>
      <c r="BS15">
        <v>-0.0248041</v>
      </c>
      <c r="BT15">
        <v>-0.0795886</v>
      </c>
      <c r="BU15">
        <v>-0.0299421</v>
      </c>
      <c r="BV15">
        <v>0.0106964</v>
      </c>
      <c r="BW15">
        <v>0.0115062</v>
      </c>
      <c r="BX15">
        <v>0</v>
      </c>
      <c r="BY15">
        <v>0</v>
      </c>
      <c r="BZ15">
        <v>0.033512</v>
      </c>
      <c r="CA15">
        <v>0.0489115</v>
      </c>
      <c r="CB15">
        <v>-0.0142009</v>
      </c>
      <c r="CC15">
        <v>-0.0256155</v>
      </c>
      <c r="CD15">
        <v>-0.0665514</v>
      </c>
      <c r="CE15">
        <v>-0.0308404</v>
      </c>
      <c r="CF15">
        <v>0.0220467</v>
      </c>
      <c r="CG15">
        <v>0.0052906</v>
      </c>
      <c r="CH15">
        <v>0</v>
      </c>
      <c r="CI15">
        <v>0</v>
      </c>
      <c r="CJ15">
        <v>0.0340437</v>
      </c>
      <c r="CK15">
        <v>0.0267945</v>
      </c>
      <c r="CL15">
        <v>-0.0019616</v>
      </c>
      <c r="CM15">
        <v>-0.0084542</v>
      </c>
      <c r="CN15">
        <v>-0.0768135</v>
      </c>
      <c r="CO15">
        <v>-0.0407714</v>
      </c>
      <c r="CP15">
        <v>0.0117504</v>
      </c>
      <c r="CQ15">
        <v>-0.0025063</v>
      </c>
      <c r="CR15">
        <v>0</v>
      </c>
      <c r="CS15">
        <v>0</v>
      </c>
      <c r="CT15">
        <v>0.0242915</v>
      </c>
      <c r="CU15">
        <v>0.0214637</v>
      </c>
      <c r="CV15">
        <v>-0.0118966</v>
      </c>
      <c r="CW15">
        <v>-0.0188846</v>
      </c>
    </row>
    <row r="16" spans="1:101" x14ac:dyDescent="0.25">
      <c r="A16" t="s">
        <v>60</v>
      </c>
      <c r="B16">
        <v>-0.0663612</v>
      </c>
      <c r="C16">
        <v>-0.0475924</v>
      </c>
      <c r="D16">
        <v>-0.0395762</v>
      </c>
      <c r="E16">
        <v>-0.0322916</v>
      </c>
      <c r="F16">
        <v>-0.0981511</v>
      </c>
      <c r="G16">
        <v>-0.0497731</v>
      </c>
      <c r="H16">
        <v>-0.0891238</v>
      </c>
      <c r="I16">
        <v>-0.0577851</v>
      </c>
      <c r="J16">
        <v>-0.0079039</v>
      </c>
      <c r="K16">
        <v>0.0120926</v>
      </c>
      <c r="L16">
        <v>-0.0742889</v>
      </c>
      <c r="M16">
        <v>-0.0579315</v>
      </c>
      <c r="N16">
        <v>-0.0466053</v>
      </c>
      <c r="O16">
        <v>-0.0411884</v>
      </c>
      <c r="P16">
        <v>-0.1078596</v>
      </c>
      <c r="Q16">
        <v>-0.0645712</v>
      </c>
      <c r="R16">
        <v>-0.0976864</v>
      </c>
      <c r="S16">
        <v>-0.0668907</v>
      </c>
      <c r="T16">
        <v>-0.0134372</v>
      </c>
      <c r="U16">
        <v>0.0038137</v>
      </c>
      <c r="V16">
        <v>-0.0687752</v>
      </c>
      <c r="W16">
        <v>-0.0482622</v>
      </c>
      <c r="X16">
        <v>-0.0437645</v>
      </c>
      <c r="Y16">
        <v>-0.0334959</v>
      </c>
      <c r="Z16">
        <v>-0.1002139</v>
      </c>
      <c r="AA16">
        <v>-0.0515032</v>
      </c>
      <c r="AB16">
        <v>-0.0953791</v>
      </c>
      <c r="AC16">
        <v>-0.059131</v>
      </c>
      <c r="AD16">
        <v>-0.0114564</v>
      </c>
      <c r="AE16">
        <v>0.0095878</v>
      </c>
      <c r="AF16">
        <v>-0.0574455</v>
      </c>
      <c r="AG16">
        <v>-0.0367013</v>
      </c>
      <c r="AH16">
        <v>-0.0349485</v>
      </c>
      <c r="AI16">
        <v>-0.028313</v>
      </c>
      <c r="AJ16">
        <v>-0.0890335</v>
      </c>
      <c r="AK16">
        <v>-0.0434892</v>
      </c>
      <c r="AL16">
        <v>-0.0799794</v>
      </c>
      <c r="AM16">
        <v>-0.0614155</v>
      </c>
      <c r="AN16">
        <v>-0.0072051</v>
      </c>
      <c r="AO16">
        <v>0.0141991</v>
      </c>
      <c r="AP16">
        <v>-0.0667026</v>
      </c>
      <c r="AQ16">
        <v>-0.0474695</v>
      </c>
      <c r="AR16">
        <v>-0.0451416</v>
      </c>
      <c r="AS16">
        <v>-0.0381038</v>
      </c>
      <c r="AT16">
        <v>-0.1002304</v>
      </c>
      <c r="AU16">
        <v>-0.0591177</v>
      </c>
      <c r="AV16">
        <v>-0.0940465</v>
      </c>
      <c r="AW16">
        <v>-0.0718794</v>
      </c>
      <c r="AX16">
        <v>-0.0161592</v>
      </c>
      <c r="AY16">
        <v>0.0042588</v>
      </c>
      <c r="AZ16">
        <v>-0.056367</v>
      </c>
      <c r="BA16">
        <v>-0.0384488</v>
      </c>
      <c r="BB16">
        <v>-0.0276123</v>
      </c>
      <c r="BC16">
        <v>-0.0218265</v>
      </c>
      <c r="BD16">
        <v>-0.0893177</v>
      </c>
      <c r="BE16">
        <v>-0.0391938</v>
      </c>
      <c r="BF16">
        <v>-0.0795531</v>
      </c>
      <c r="BG16">
        <v>-0.0486024</v>
      </c>
      <c r="BH16">
        <v>0.0014436</v>
      </c>
      <c r="BI16">
        <v>0.0230042</v>
      </c>
      <c r="BJ16">
        <v>-0.0628947</v>
      </c>
      <c r="BK16">
        <v>-0.04534</v>
      </c>
      <c r="BL16">
        <v>-0.0325135</v>
      </c>
      <c r="BM16">
        <v>-0.0269294</v>
      </c>
      <c r="BN16">
        <v>-0.0970661</v>
      </c>
      <c r="BO16">
        <v>-0.0498574</v>
      </c>
      <c r="BP16">
        <v>-0.0857793</v>
      </c>
      <c r="BQ16">
        <v>-0.0537927</v>
      </c>
      <c r="BR16">
        <v>-0.0017964</v>
      </c>
      <c r="BS16">
        <v>0.0189905</v>
      </c>
      <c r="BT16">
        <v>-0.0600438</v>
      </c>
      <c r="BU16">
        <v>-0.0393204</v>
      </c>
      <c r="BV16">
        <v>-0.0329713</v>
      </c>
      <c r="BW16">
        <v>-0.02333</v>
      </c>
      <c r="BX16">
        <v>-0.0922339</v>
      </c>
      <c r="BY16">
        <v>-0.0408908</v>
      </c>
      <c r="BZ16">
        <v>-0.0866143</v>
      </c>
      <c r="CA16">
        <v>-0.050231</v>
      </c>
      <c r="CB16">
        <v>-0.0029543</v>
      </c>
      <c r="CC16">
        <v>0.0201099</v>
      </c>
      <c r="CD16">
        <v>-0.0458917</v>
      </c>
      <c r="CE16">
        <v>-0.0283679</v>
      </c>
      <c r="CF16">
        <v>-0.0229229</v>
      </c>
      <c r="CG16">
        <v>-0.0186687</v>
      </c>
      <c r="CH16">
        <v>-0.0772532</v>
      </c>
      <c r="CI16">
        <v>-0.0316851</v>
      </c>
      <c r="CJ16">
        <v>-0.0699033</v>
      </c>
      <c r="CK16">
        <v>-0.0526596</v>
      </c>
      <c r="CL16">
        <v>0.0026075</v>
      </c>
      <c r="CM16">
        <v>0.0248928</v>
      </c>
      <c r="CN16">
        <v>-0.0557282</v>
      </c>
      <c r="CO16">
        <v>-0.0365522</v>
      </c>
      <c r="CP16">
        <v>-0.0331945</v>
      </c>
      <c r="CQ16">
        <v>-0.0256116</v>
      </c>
      <c r="CR16">
        <v>-0.0880321</v>
      </c>
      <c r="CS16">
        <v>-0.0436769</v>
      </c>
      <c r="CT16">
        <v>-0.0836302</v>
      </c>
      <c r="CU16">
        <v>-0.0603516</v>
      </c>
      <c r="CV16">
        <v>-0.0056774</v>
      </c>
      <c r="CW16">
        <v>0.0181289</v>
      </c>
    </row>
    <row r="17" spans="1:101" x14ac:dyDescent="0.25">
      <c r="A17" t="s">
        <v>61</v>
      </c>
      <c r="B17">
        <v>0.1197879</v>
      </c>
      <c r="C17">
        <v>0.150273</v>
      </c>
      <c r="D17">
        <v>0.0844423</v>
      </c>
      <c r="E17">
        <v>0.114563</v>
      </c>
      <c r="F17">
        <v>0</v>
      </c>
      <c r="G17">
        <v>0</v>
      </c>
      <c r="H17">
        <v>0.0750716</v>
      </c>
      <c r="I17">
        <v>0.0809765</v>
      </c>
      <c r="J17">
        <v>0.0833101</v>
      </c>
      <c r="K17">
        <v>0.155739</v>
      </c>
      <c r="L17">
        <v>0.106756</v>
      </c>
      <c r="M17">
        <v>0.1383719</v>
      </c>
      <c r="N17">
        <v>0.0733118</v>
      </c>
      <c r="O17">
        <v>0.1058212</v>
      </c>
      <c r="P17">
        <v>0</v>
      </c>
      <c r="Q17">
        <v>0</v>
      </c>
      <c r="R17">
        <v>0.0631608</v>
      </c>
      <c r="S17">
        <v>0.072524</v>
      </c>
      <c r="T17">
        <v>0.073392</v>
      </c>
      <c r="U17">
        <v>0.1454254</v>
      </c>
      <c r="V17">
        <v>0.1054746</v>
      </c>
      <c r="W17">
        <v>0.1393796</v>
      </c>
      <c r="X17">
        <v>0.0697082</v>
      </c>
      <c r="Y17">
        <v>0.1034168</v>
      </c>
      <c r="Z17">
        <v>0</v>
      </c>
      <c r="AA17">
        <v>0</v>
      </c>
      <c r="AB17">
        <v>0.0587372</v>
      </c>
      <c r="AC17">
        <v>0.0710909</v>
      </c>
      <c r="AD17">
        <v>0.0689079</v>
      </c>
      <c r="AE17">
        <v>0.1424174</v>
      </c>
      <c r="AF17">
        <v>0.1302287</v>
      </c>
      <c r="AG17">
        <v>0.1617785</v>
      </c>
      <c r="AH17">
        <v>0.1017299</v>
      </c>
      <c r="AI17">
        <v>0.1209467</v>
      </c>
      <c r="AJ17">
        <v>0</v>
      </c>
      <c r="AK17">
        <v>0</v>
      </c>
      <c r="AL17">
        <v>0.1104907</v>
      </c>
      <c r="AM17">
        <v>0.0930825</v>
      </c>
      <c r="AN17">
        <v>0.0939351</v>
      </c>
      <c r="AO17">
        <v>0.1614911</v>
      </c>
      <c r="AP17">
        <v>0.1061825</v>
      </c>
      <c r="AQ17">
        <v>0.1415382</v>
      </c>
      <c r="AR17">
        <v>0.0788187</v>
      </c>
      <c r="AS17">
        <v>0.1034169</v>
      </c>
      <c r="AT17">
        <v>0</v>
      </c>
      <c r="AU17">
        <v>0</v>
      </c>
      <c r="AV17">
        <v>0.0844888</v>
      </c>
      <c r="AW17">
        <v>0.0765924</v>
      </c>
      <c r="AX17">
        <v>0.0727068</v>
      </c>
      <c r="AY17">
        <v>0.1412729</v>
      </c>
      <c r="AZ17">
        <v>0.1071019</v>
      </c>
      <c r="BA17">
        <v>0.134192</v>
      </c>
      <c r="BB17">
        <v>0.0736147</v>
      </c>
      <c r="BC17">
        <v>0.1013148</v>
      </c>
      <c r="BD17">
        <v>0</v>
      </c>
      <c r="BE17">
        <v>0</v>
      </c>
      <c r="BF17">
        <v>0.0635262</v>
      </c>
      <c r="BG17">
        <v>0.0669478</v>
      </c>
      <c r="BH17">
        <v>0.0720012</v>
      </c>
      <c r="BI17">
        <v>0.1413652</v>
      </c>
      <c r="BJ17">
        <v>0.093204</v>
      </c>
      <c r="BK17">
        <v>0.1214535</v>
      </c>
      <c r="BL17">
        <v>0.0617093</v>
      </c>
      <c r="BM17">
        <v>0.0920557</v>
      </c>
      <c r="BN17">
        <v>0</v>
      </c>
      <c r="BO17">
        <v>0</v>
      </c>
      <c r="BP17">
        <v>0.0509371</v>
      </c>
      <c r="BQ17">
        <v>0.0580566</v>
      </c>
      <c r="BR17">
        <v>0.0614446</v>
      </c>
      <c r="BS17">
        <v>0.1305961</v>
      </c>
      <c r="BT17">
        <v>0.0920598</v>
      </c>
      <c r="BU17">
        <v>0.1228854</v>
      </c>
      <c r="BV17">
        <v>0.0583609</v>
      </c>
      <c r="BW17">
        <v>0.0899664</v>
      </c>
      <c r="BX17">
        <v>0</v>
      </c>
      <c r="BY17">
        <v>0</v>
      </c>
      <c r="BZ17">
        <v>0.0468497</v>
      </c>
      <c r="CA17">
        <v>0.0573554</v>
      </c>
      <c r="CB17">
        <v>0.0574525</v>
      </c>
      <c r="CC17">
        <v>0.1281684</v>
      </c>
      <c r="CD17">
        <v>0.1168505</v>
      </c>
      <c r="CE17">
        <v>0.1439353</v>
      </c>
      <c r="CF17">
        <v>0.0903326</v>
      </c>
      <c r="CG17">
        <v>0.1063151</v>
      </c>
      <c r="CH17">
        <v>0</v>
      </c>
      <c r="CI17">
        <v>0</v>
      </c>
      <c r="CJ17">
        <v>0.0981533</v>
      </c>
      <c r="CK17">
        <v>0.0780779</v>
      </c>
      <c r="CL17">
        <v>0.0815854</v>
      </c>
      <c r="CM17">
        <v>0.1459343</v>
      </c>
      <c r="CN17">
        <v>0.0917585</v>
      </c>
      <c r="CO17">
        <v>0.1232822</v>
      </c>
      <c r="CP17">
        <v>0.0664311</v>
      </c>
      <c r="CQ17">
        <v>0.0886745</v>
      </c>
      <c r="CR17">
        <v>0</v>
      </c>
      <c r="CS17">
        <v>0</v>
      </c>
      <c r="CT17">
        <v>0.0714966</v>
      </c>
      <c r="CU17">
        <v>0.0616356</v>
      </c>
      <c r="CV17">
        <v>0.0598872</v>
      </c>
      <c r="CW17">
        <v>0.1258208</v>
      </c>
    </row>
    <row r="18" spans="1:101" x14ac:dyDescent="0.25">
      <c r="A18" t="s">
        <v>62</v>
      </c>
      <c r="B18">
        <v>-0.0819715</v>
      </c>
      <c r="C18">
        <v>-0.0517874</v>
      </c>
      <c r="D18">
        <v>-0.0567839</v>
      </c>
      <c r="E18">
        <v>-0.0300005</v>
      </c>
      <c r="F18">
        <v>0</v>
      </c>
      <c r="G18">
        <v>0</v>
      </c>
      <c r="H18">
        <v>-0.0683256</v>
      </c>
      <c r="I18">
        <v>-0.0517872</v>
      </c>
      <c r="J18">
        <v>-0.0409242</v>
      </c>
      <c r="K18">
        <v>0.0141928</v>
      </c>
      <c r="L18">
        <v>-0.0778126</v>
      </c>
      <c r="M18">
        <v>-0.0488332</v>
      </c>
      <c r="N18">
        <v>-0.0534262</v>
      </c>
      <c r="O18">
        <v>-0.028089</v>
      </c>
      <c r="P18">
        <v>0</v>
      </c>
      <c r="Q18">
        <v>0</v>
      </c>
      <c r="R18">
        <v>-0.0644549</v>
      </c>
      <c r="S18">
        <v>-0.0501194</v>
      </c>
      <c r="T18">
        <v>-0.0378598</v>
      </c>
      <c r="U18">
        <v>0.0165197</v>
      </c>
      <c r="V18">
        <v>-0.0761119</v>
      </c>
      <c r="W18">
        <v>-0.0463501</v>
      </c>
      <c r="X18">
        <v>-0.0506382</v>
      </c>
      <c r="Y18">
        <v>-0.0255406</v>
      </c>
      <c r="Z18">
        <v>0</v>
      </c>
      <c r="AA18">
        <v>0</v>
      </c>
      <c r="AB18">
        <v>-0.0607664</v>
      </c>
      <c r="AC18">
        <v>-0.0476587</v>
      </c>
      <c r="AD18">
        <v>-0.036013</v>
      </c>
      <c r="AE18">
        <v>0.018922</v>
      </c>
      <c r="AF18">
        <v>-0.083509</v>
      </c>
      <c r="AG18">
        <v>-0.0507669</v>
      </c>
      <c r="AH18">
        <v>-0.062389</v>
      </c>
      <c r="AI18">
        <v>-0.0285806</v>
      </c>
      <c r="AJ18">
        <v>0</v>
      </c>
      <c r="AK18">
        <v>0</v>
      </c>
      <c r="AL18">
        <v>-0.073155</v>
      </c>
      <c r="AM18">
        <v>-0.0543692</v>
      </c>
      <c r="AN18">
        <v>-0.0462084</v>
      </c>
      <c r="AO18">
        <v>0.0216521</v>
      </c>
      <c r="AP18">
        <v>-0.0742271</v>
      </c>
      <c r="AQ18">
        <v>-0.0436455</v>
      </c>
      <c r="AR18">
        <v>-0.0535985</v>
      </c>
      <c r="AS18">
        <v>-0.0228755</v>
      </c>
      <c r="AT18">
        <v>0</v>
      </c>
      <c r="AU18">
        <v>0</v>
      </c>
      <c r="AV18">
        <v>-0.0630114</v>
      </c>
      <c r="AW18">
        <v>-0.0489011</v>
      </c>
      <c r="AX18">
        <v>-0.0389022</v>
      </c>
      <c r="AY18">
        <v>0.0275883</v>
      </c>
      <c r="AZ18">
        <v>-0.0751438</v>
      </c>
      <c r="BA18">
        <v>-0.0511759</v>
      </c>
      <c r="BB18">
        <v>-0.0521962</v>
      </c>
      <c r="BC18">
        <v>-0.0312619</v>
      </c>
      <c r="BD18">
        <v>0</v>
      </c>
      <c r="BE18">
        <v>0</v>
      </c>
      <c r="BF18">
        <v>-0.0637665</v>
      </c>
      <c r="BG18">
        <v>-0.0533361</v>
      </c>
      <c r="BH18">
        <v>-0.0361779</v>
      </c>
      <c r="BI18">
        <v>0.0145411</v>
      </c>
      <c r="BJ18">
        <v>-0.0710685</v>
      </c>
      <c r="BK18">
        <v>-0.0483995</v>
      </c>
      <c r="BL18">
        <v>-0.0489189</v>
      </c>
      <c r="BM18">
        <v>-0.0297021</v>
      </c>
      <c r="BN18">
        <v>0</v>
      </c>
      <c r="BO18">
        <v>0</v>
      </c>
      <c r="BP18">
        <v>-0.0599687</v>
      </c>
      <c r="BQ18">
        <v>-0.0520054</v>
      </c>
      <c r="BR18">
        <v>-0.0331901</v>
      </c>
      <c r="BS18">
        <v>0.016562</v>
      </c>
      <c r="BT18">
        <v>-0.0696108</v>
      </c>
      <c r="BU18">
        <v>-0.0463737</v>
      </c>
      <c r="BV18">
        <v>-0.0463273</v>
      </c>
      <c r="BW18">
        <v>-0.0275478</v>
      </c>
      <c r="BX18">
        <v>0</v>
      </c>
      <c r="BY18">
        <v>0</v>
      </c>
      <c r="BZ18">
        <v>-0.0564555</v>
      </c>
      <c r="CA18">
        <v>-0.0498819</v>
      </c>
      <c r="CB18">
        <v>-0.0315382</v>
      </c>
      <c r="CC18">
        <v>0.0185524</v>
      </c>
      <c r="CD18">
        <v>-0.0770419</v>
      </c>
      <c r="CE18">
        <v>-0.0510854</v>
      </c>
      <c r="CF18">
        <v>-0.0579383</v>
      </c>
      <c r="CG18">
        <v>-0.0307797</v>
      </c>
      <c r="CH18">
        <v>0</v>
      </c>
      <c r="CI18">
        <v>0</v>
      </c>
      <c r="CJ18">
        <v>-0.0686288</v>
      </c>
      <c r="CK18">
        <v>-0.056841</v>
      </c>
      <c r="CL18">
        <v>-0.0414664</v>
      </c>
      <c r="CM18">
        <v>0.0213704</v>
      </c>
      <c r="CN18">
        <v>-0.0679131</v>
      </c>
      <c r="CO18">
        <v>-0.0441334</v>
      </c>
      <c r="CP18">
        <v>-0.0492826</v>
      </c>
      <c r="CQ18">
        <v>-0.0254507</v>
      </c>
      <c r="CR18">
        <v>0</v>
      </c>
      <c r="CS18">
        <v>0</v>
      </c>
      <c r="CT18">
        <v>-0.0586624</v>
      </c>
      <c r="CU18">
        <v>-0.0517511</v>
      </c>
      <c r="CV18">
        <v>-0.0343871</v>
      </c>
      <c r="CW18">
        <v>0.0267826</v>
      </c>
    </row>
    <row r="19" spans="1:101" x14ac:dyDescent="0.25">
      <c r="A19" t="s">
        <v>63</v>
      </c>
      <c r="B19">
        <v>0.0306769</v>
      </c>
      <c r="C19">
        <v>0.0191169</v>
      </c>
      <c r="D19">
        <v>0.0325692</v>
      </c>
      <c r="E19">
        <v>0.0232747</v>
      </c>
      <c r="F19">
        <v>0</v>
      </c>
      <c r="G19">
        <v>0</v>
      </c>
      <c r="H19">
        <v>0.0484755</v>
      </c>
      <c r="I19">
        <v>0.0489033</v>
      </c>
      <c r="J19">
        <v>0.016994</v>
      </c>
      <c r="K19">
        <v>-0.0111745</v>
      </c>
      <c r="L19">
        <v>0.0306768</v>
      </c>
      <c r="M19">
        <v>0.0200406</v>
      </c>
      <c r="N19">
        <v>0.0325689</v>
      </c>
      <c r="O19">
        <v>0.0240427</v>
      </c>
      <c r="P19">
        <v>0</v>
      </c>
      <c r="Q19">
        <v>0</v>
      </c>
      <c r="R19">
        <v>0.0488099</v>
      </c>
      <c r="S19">
        <v>0.0496393</v>
      </c>
      <c r="T19">
        <v>0.0169872</v>
      </c>
      <c r="U19">
        <v>-0.010184</v>
      </c>
      <c r="V19">
        <v>0.0307469</v>
      </c>
      <c r="W19">
        <v>0.0205926</v>
      </c>
      <c r="X19">
        <v>0.0327475</v>
      </c>
      <c r="Y19">
        <v>0.0247538</v>
      </c>
      <c r="Z19">
        <v>0</v>
      </c>
      <c r="AA19">
        <v>0</v>
      </c>
      <c r="AB19">
        <v>0.0485765</v>
      </c>
      <c r="AC19">
        <v>0.0502694</v>
      </c>
      <c r="AD19">
        <v>0.0171809</v>
      </c>
      <c r="AE19">
        <v>-0.0093452</v>
      </c>
      <c r="AF19">
        <v>0.0282181</v>
      </c>
      <c r="AG19">
        <v>0.0178356</v>
      </c>
      <c r="AH19">
        <v>0.0285106</v>
      </c>
      <c r="AI19">
        <v>0.0247348</v>
      </c>
      <c r="AJ19">
        <v>0</v>
      </c>
      <c r="AK19">
        <v>0</v>
      </c>
      <c r="AL19">
        <v>0.0466579</v>
      </c>
      <c r="AM19">
        <v>0.0513455</v>
      </c>
      <c r="AN19">
        <v>0.0135179</v>
      </c>
      <c r="AO19">
        <v>-0.0103641</v>
      </c>
      <c r="AP19">
        <v>0.0288245</v>
      </c>
      <c r="AQ19">
        <v>0.0199549</v>
      </c>
      <c r="AR19">
        <v>0.0291762</v>
      </c>
      <c r="AS19">
        <v>0.0267453</v>
      </c>
      <c r="AT19">
        <v>0</v>
      </c>
      <c r="AU19">
        <v>0</v>
      </c>
      <c r="AV19">
        <v>0.0473455</v>
      </c>
      <c r="AW19">
        <v>0.0531464</v>
      </c>
      <c r="AX19">
        <v>0.0141743</v>
      </c>
      <c r="AY19">
        <v>-0.0079987</v>
      </c>
      <c r="AZ19">
        <v>0.0301786</v>
      </c>
      <c r="BA19">
        <v>0.0165865</v>
      </c>
      <c r="BB19">
        <v>0.0316918</v>
      </c>
      <c r="BC19">
        <v>0.020673</v>
      </c>
      <c r="BD19">
        <v>0</v>
      </c>
      <c r="BE19">
        <v>0</v>
      </c>
      <c r="BF19">
        <v>0.0474074</v>
      </c>
      <c r="BG19">
        <v>0.0461425</v>
      </c>
      <c r="BH19">
        <v>0.015888</v>
      </c>
      <c r="BI19">
        <v>-0.0149606</v>
      </c>
      <c r="BJ19">
        <v>0.0306363</v>
      </c>
      <c r="BK19">
        <v>0.0178997</v>
      </c>
      <c r="BL19">
        <v>0.0321079</v>
      </c>
      <c r="BM19">
        <v>0.0217935</v>
      </c>
      <c r="BN19">
        <v>0</v>
      </c>
      <c r="BO19">
        <v>0</v>
      </c>
      <c r="BP19">
        <v>0.0481562</v>
      </c>
      <c r="BQ19">
        <v>0.047197</v>
      </c>
      <c r="BR19">
        <v>0.0162855</v>
      </c>
      <c r="BS19">
        <v>-0.0136888</v>
      </c>
      <c r="BT19">
        <v>0.0308807</v>
      </c>
      <c r="BU19">
        <v>0.0184599</v>
      </c>
      <c r="BV19">
        <v>0.0324717</v>
      </c>
      <c r="BW19">
        <v>0.022573</v>
      </c>
      <c r="BX19">
        <v>0</v>
      </c>
      <c r="BY19">
        <v>0</v>
      </c>
      <c r="BZ19">
        <v>0.0481034</v>
      </c>
      <c r="CA19">
        <v>0.0479144</v>
      </c>
      <c r="CB19">
        <v>0.0166448</v>
      </c>
      <c r="CC19">
        <v>-0.0127335</v>
      </c>
      <c r="CD19">
        <v>0.027634</v>
      </c>
      <c r="CE19">
        <v>0.0150236</v>
      </c>
      <c r="CF19">
        <v>0.0274011</v>
      </c>
      <c r="CG19">
        <v>0.0218126</v>
      </c>
      <c r="CH19">
        <v>0</v>
      </c>
      <c r="CI19">
        <v>0</v>
      </c>
      <c r="CJ19">
        <v>0.0453879</v>
      </c>
      <c r="CK19">
        <v>0.0482751</v>
      </c>
      <c r="CL19">
        <v>0.0120676</v>
      </c>
      <c r="CM19">
        <v>-0.0146372</v>
      </c>
      <c r="CN19">
        <v>0.029076</v>
      </c>
      <c r="CO19">
        <v>0.0177865</v>
      </c>
      <c r="CP19">
        <v>0.0288888</v>
      </c>
      <c r="CQ19">
        <v>0.0244639</v>
      </c>
      <c r="CR19">
        <v>0</v>
      </c>
      <c r="CS19">
        <v>0</v>
      </c>
      <c r="CT19">
        <v>0.0469044</v>
      </c>
      <c r="CU19">
        <v>0.0506964</v>
      </c>
      <c r="CV19">
        <v>0.013539</v>
      </c>
      <c r="CW19">
        <v>-0.0116181</v>
      </c>
    </row>
    <row r="20" spans="1:101" x14ac:dyDescent="0.25">
      <c r="A20" t="s">
        <v>64</v>
      </c>
      <c r="B20">
        <v>-0.0946348</v>
      </c>
      <c r="C20">
        <v>-0.1049477</v>
      </c>
      <c r="D20">
        <v>-0.1035985</v>
      </c>
      <c r="E20">
        <v>-0.0927024</v>
      </c>
      <c r="F20">
        <v>-0.0946663</v>
      </c>
      <c r="G20">
        <v>-0.1289201</v>
      </c>
      <c r="H20">
        <v>-0.0898086</v>
      </c>
      <c r="I20">
        <v>-0.0850404</v>
      </c>
      <c r="J20">
        <v>-0.1191213</v>
      </c>
      <c r="K20">
        <v>-0.1155391</v>
      </c>
      <c r="L20">
        <v>-0.0907168</v>
      </c>
      <c r="M20">
        <v>-0.102454</v>
      </c>
      <c r="N20">
        <v>-0.0999887</v>
      </c>
      <c r="O20">
        <v>-0.0912325</v>
      </c>
      <c r="P20">
        <v>-0.0875231</v>
      </c>
      <c r="Q20">
        <v>-0.1230039</v>
      </c>
      <c r="R20">
        <v>-0.0856819</v>
      </c>
      <c r="S20">
        <v>-0.0834809</v>
      </c>
      <c r="T20">
        <v>-0.1157191</v>
      </c>
      <c r="U20">
        <v>-0.1131545</v>
      </c>
      <c r="V20">
        <v>-0.0905966</v>
      </c>
      <c r="W20">
        <v>-0.1037717</v>
      </c>
      <c r="X20">
        <v>-0.0996442</v>
      </c>
      <c r="Y20">
        <v>-0.0917441</v>
      </c>
      <c r="Z20">
        <v>-0.0878765</v>
      </c>
      <c r="AA20">
        <v>-0.1262343</v>
      </c>
      <c r="AB20">
        <v>-0.0841698</v>
      </c>
      <c r="AC20">
        <v>-0.0838455</v>
      </c>
      <c r="AD20">
        <v>-0.115679</v>
      </c>
      <c r="AE20">
        <v>-0.1143576</v>
      </c>
      <c r="AF20">
        <v>-0.0952647</v>
      </c>
      <c r="AG20">
        <v>-0.1059337</v>
      </c>
      <c r="AH20">
        <v>-0.1033711</v>
      </c>
      <c r="AI20">
        <v>-0.0919494</v>
      </c>
      <c r="AJ20">
        <v>-0.0971028</v>
      </c>
      <c r="AK20">
        <v>-0.1297155</v>
      </c>
      <c r="AL20">
        <v>-0.0893181</v>
      </c>
      <c r="AM20">
        <v>-0.0842996</v>
      </c>
      <c r="AN20">
        <v>-0.1185197</v>
      </c>
      <c r="AO20">
        <v>-0.1149054</v>
      </c>
      <c r="AP20">
        <v>-0.0875188</v>
      </c>
      <c r="AQ20">
        <v>-0.1022686</v>
      </c>
      <c r="AR20">
        <v>-0.0961839</v>
      </c>
      <c r="AS20">
        <v>-0.0897449</v>
      </c>
      <c r="AT20">
        <v>-0.0845363</v>
      </c>
      <c r="AU20">
        <v>-0.1219056</v>
      </c>
      <c r="AV20">
        <v>-0.0801956</v>
      </c>
      <c r="AW20">
        <v>-0.0813293</v>
      </c>
      <c r="AX20">
        <v>-0.1121459</v>
      </c>
      <c r="AY20">
        <v>-0.1121897</v>
      </c>
      <c r="AZ20">
        <v>-0.0998776</v>
      </c>
      <c r="BA20">
        <v>-0.1101437</v>
      </c>
      <c r="BB20">
        <v>-0.1046101</v>
      </c>
      <c r="BC20">
        <v>-0.0920935</v>
      </c>
      <c r="BD20">
        <v>-0.0974299</v>
      </c>
      <c r="BE20">
        <v>-0.1269124</v>
      </c>
      <c r="BF20">
        <v>-0.0876484</v>
      </c>
      <c r="BG20">
        <v>-0.0812234</v>
      </c>
      <c r="BH20">
        <v>-0.1179062</v>
      </c>
      <c r="BI20">
        <v>-0.1118468</v>
      </c>
      <c r="BJ20">
        <v>-0.0951455</v>
      </c>
      <c r="BK20">
        <v>-0.1059324</v>
      </c>
      <c r="BL20">
        <v>-0.1003185</v>
      </c>
      <c r="BM20">
        <v>-0.0893347</v>
      </c>
      <c r="BN20">
        <v>-0.0896239</v>
      </c>
      <c r="BO20">
        <v>-0.1193827</v>
      </c>
      <c r="BP20">
        <v>-0.0829556</v>
      </c>
      <c r="BQ20">
        <v>-0.0783965</v>
      </c>
      <c r="BR20">
        <v>-0.1139342</v>
      </c>
      <c r="BS20">
        <v>-0.1080585</v>
      </c>
      <c r="BT20">
        <v>-0.0954051</v>
      </c>
      <c r="BU20">
        <v>-0.1085744</v>
      </c>
      <c r="BV20">
        <v>-0.1004777</v>
      </c>
      <c r="BW20">
        <v>-0.090802</v>
      </c>
      <c r="BX20">
        <v>-0.0907885</v>
      </c>
      <c r="BY20">
        <v>-0.1241051</v>
      </c>
      <c r="BZ20">
        <v>-0.0819801</v>
      </c>
      <c r="CA20">
        <v>-0.0796665</v>
      </c>
      <c r="CB20">
        <v>-0.114502</v>
      </c>
      <c r="CC20">
        <v>-0.1105848</v>
      </c>
      <c r="CD20">
        <v>-0.0992045</v>
      </c>
      <c r="CE20">
        <v>-0.1095448</v>
      </c>
      <c r="CF20">
        <v>-0.1039749</v>
      </c>
      <c r="CG20">
        <v>-0.0898242</v>
      </c>
      <c r="CH20">
        <v>-0.0995144</v>
      </c>
      <c r="CI20">
        <v>-0.1258716</v>
      </c>
      <c r="CJ20">
        <v>-0.0871571</v>
      </c>
      <c r="CK20">
        <v>-0.079012</v>
      </c>
      <c r="CL20">
        <v>-0.1169076</v>
      </c>
      <c r="CM20">
        <v>-0.1097247</v>
      </c>
      <c r="CN20">
        <v>-0.0907755</v>
      </c>
      <c r="CO20">
        <v>-0.1046657</v>
      </c>
      <c r="CP20">
        <v>-0.0964709</v>
      </c>
      <c r="CQ20">
        <v>-0.0869146</v>
      </c>
      <c r="CR20">
        <v>-0.0863132</v>
      </c>
      <c r="CS20">
        <v>-0.1168376</v>
      </c>
      <c r="CT20">
        <v>-0.0777709</v>
      </c>
      <c r="CU20">
        <v>-0.0754965</v>
      </c>
      <c r="CV20">
        <v>-0.1102987</v>
      </c>
      <c r="CW20">
        <v>-0.1063796</v>
      </c>
    </row>
    <row r="21" spans="1:101" x14ac:dyDescent="0.25">
      <c r="A21" t="s">
        <v>65</v>
      </c>
      <c r="B21">
        <v>-0.27057</v>
      </c>
      <c r="C21">
        <v>-0.2251948</v>
      </c>
      <c r="D21">
        <v>-0.2417542</v>
      </c>
      <c r="E21">
        <v>-0.2018525</v>
      </c>
      <c r="F21">
        <v>-0.3581041</v>
      </c>
      <c r="G21">
        <v>-0.3040924</v>
      </c>
      <c r="H21">
        <v>-0.2569041</v>
      </c>
      <c r="I21">
        <v>-0.2107552</v>
      </c>
      <c r="J21">
        <v>-0.2480549</v>
      </c>
      <c r="K21">
        <v>-0.2123743</v>
      </c>
      <c r="L21">
        <v>-0.2705122</v>
      </c>
      <c r="M21">
        <v>-0.2236355</v>
      </c>
      <c r="N21">
        <v>-0.2411762</v>
      </c>
      <c r="O21">
        <v>-0.2004894</v>
      </c>
      <c r="P21">
        <v>-0.356859</v>
      </c>
      <c r="Q21">
        <v>-0.3013297</v>
      </c>
      <c r="R21">
        <v>-0.2559883</v>
      </c>
      <c r="S21">
        <v>-0.2093613</v>
      </c>
      <c r="T21">
        <v>-0.2469561</v>
      </c>
      <c r="U21">
        <v>-0.2081075</v>
      </c>
      <c r="V21">
        <v>-0.2241857</v>
      </c>
      <c r="W21">
        <v>-0.1737697</v>
      </c>
      <c r="X21">
        <v>-0.1924338</v>
      </c>
      <c r="Y21">
        <v>-0.1499195</v>
      </c>
      <c r="Z21">
        <v>-0.303684</v>
      </c>
      <c r="AA21">
        <v>-0.2449514</v>
      </c>
      <c r="AB21">
        <v>-0.1986967</v>
      </c>
      <c r="AC21">
        <v>-0.1630679</v>
      </c>
      <c r="AD21">
        <v>-0.2025816</v>
      </c>
      <c r="AE21">
        <v>-0.1559808</v>
      </c>
      <c r="AF21">
        <v>-0.2718966</v>
      </c>
      <c r="AG21">
        <v>-0.2236755</v>
      </c>
      <c r="AH21">
        <v>-0.2477845</v>
      </c>
      <c r="AI21">
        <v>-0.1981491</v>
      </c>
      <c r="AJ21">
        <v>-0.3528078</v>
      </c>
      <c r="AK21">
        <v>-0.299086</v>
      </c>
      <c r="AL21">
        <v>-0.2583169</v>
      </c>
      <c r="AM21">
        <v>-0.2123504</v>
      </c>
      <c r="AN21">
        <v>-0.2528965</v>
      </c>
      <c r="AO21">
        <v>-0.1965854</v>
      </c>
      <c r="AP21">
        <v>-0.2267102</v>
      </c>
      <c r="AQ21">
        <v>-0.1762507</v>
      </c>
      <c r="AR21">
        <v>-0.2001466</v>
      </c>
      <c r="AS21">
        <v>-0.1497464</v>
      </c>
      <c r="AT21">
        <v>-0.2989062</v>
      </c>
      <c r="AU21">
        <v>-0.2437577</v>
      </c>
      <c r="AV21">
        <v>-0.2002523</v>
      </c>
      <c r="AW21">
        <v>-0.1679294</v>
      </c>
      <c r="AX21">
        <v>-0.2089706</v>
      </c>
      <c r="AY21">
        <v>-0.1446989</v>
      </c>
      <c r="AZ21">
        <v>-0.3206166</v>
      </c>
      <c r="BA21">
        <v>-0.2585943</v>
      </c>
      <c r="BB21">
        <v>-0.2727793</v>
      </c>
      <c r="BC21">
        <v>-0.2159947</v>
      </c>
      <c r="BD21">
        <v>-0.404855</v>
      </c>
      <c r="BE21">
        <v>-0.3273572</v>
      </c>
      <c r="BF21">
        <v>-0.2803099</v>
      </c>
      <c r="BG21">
        <v>-0.216315</v>
      </c>
      <c r="BH21">
        <v>-0.2710221</v>
      </c>
      <c r="BI21">
        <v>-0.2152953</v>
      </c>
      <c r="BJ21">
        <v>-0.3168231</v>
      </c>
      <c r="BK21">
        <v>-0.2492861</v>
      </c>
      <c r="BL21">
        <v>-0.2684574</v>
      </c>
      <c r="BM21">
        <v>-0.2081467</v>
      </c>
      <c r="BN21">
        <v>-0.400743</v>
      </c>
      <c r="BO21">
        <v>-0.316651</v>
      </c>
      <c r="BP21">
        <v>-0.2759708</v>
      </c>
      <c r="BQ21">
        <v>-0.2085875</v>
      </c>
      <c r="BR21">
        <v>-0.2664475</v>
      </c>
      <c r="BS21">
        <v>-0.2046359</v>
      </c>
      <c r="BT21">
        <v>-0.2763408</v>
      </c>
      <c r="BU21">
        <v>-0.2208049</v>
      </c>
      <c r="BV21">
        <v>-0.2266944</v>
      </c>
      <c r="BW21">
        <v>-0.1771894</v>
      </c>
      <c r="BX21">
        <v>-0.3554646</v>
      </c>
      <c r="BY21">
        <v>-0.2849461</v>
      </c>
      <c r="BZ21">
        <v>-0.2264933</v>
      </c>
      <c r="CA21">
        <v>-0.1822839</v>
      </c>
      <c r="CB21">
        <v>-0.2298924</v>
      </c>
      <c r="CC21">
        <v>-0.1744077</v>
      </c>
      <c r="CD21">
        <v>-0.3208137</v>
      </c>
      <c r="CE21">
        <v>-0.2561109</v>
      </c>
      <c r="CF21">
        <v>-0.2785102</v>
      </c>
      <c r="CG21">
        <v>-0.210054</v>
      </c>
      <c r="CH21">
        <v>-0.4000423</v>
      </c>
      <c r="CI21">
        <v>-0.3243709</v>
      </c>
      <c r="CJ21">
        <v>-0.2814693</v>
      </c>
      <c r="CK21">
        <v>-0.2168168</v>
      </c>
      <c r="CL21">
        <v>-0.2763132</v>
      </c>
      <c r="CM21">
        <v>-0.1980543</v>
      </c>
      <c r="CN21">
        <v>-0.2702118</v>
      </c>
      <c r="CO21">
        <v>-0.2116113</v>
      </c>
      <c r="CP21">
        <v>-0.2279648</v>
      </c>
      <c r="CQ21">
        <v>-0.165745</v>
      </c>
      <c r="CR21">
        <v>-0.3425359</v>
      </c>
      <c r="CS21">
        <v>-0.2730055</v>
      </c>
      <c r="CT21">
        <v>-0.2216709</v>
      </c>
      <c r="CU21">
        <v>-0.1773555</v>
      </c>
      <c r="CV21">
        <v>-0.2305906</v>
      </c>
      <c r="CW21">
        <v>-0.1519443</v>
      </c>
    </row>
    <row r="22" spans="1:101" x14ac:dyDescent="0.25">
      <c r="A22" t="s">
        <v>66</v>
      </c>
      <c r="B22">
        <v>-0.078715</v>
      </c>
      <c r="C22">
        <v>-0.0895067</v>
      </c>
      <c r="D22">
        <v>-0.0791142</v>
      </c>
      <c r="E22">
        <v>-0.0970527</v>
      </c>
      <c r="F22">
        <v>-0.1159453</v>
      </c>
      <c r="G22">
        <v>-0.1401688</v>
      </c>
      <c r="H22">
        <v>-0.0786607</v>
      </c>
      <c r="I22">
        <v>-0.1206397</v>
      </c>
      <c r="J22">
        <v>-0.0998063</v>
      </c>
      <c r="K22">
        <v>-0.0824133</v>
      </c>
      <c r="L22">
        <v>-0.0830564</v>
      </c>
      <c r="M22">
        <v>-0.089485</v>
      </c>
      <c r="N22">
        <v>-0.0826941</v>
      </c>
      <c r="O22">
        <v>-0.096936</v>
      </c>
      <c r="P22">
        <v>-0.1220248</v>
      </c>
      <c r="Q22">
        <v>-0.1410318</v>
      </c>
      <c r="R22">
        <v>-0.0825615</v>
      </c>
      <c r="S22">
        <v>-0.1194638</v>
      </c>
      <c r="T22">
        <v>-0.1014342</v>
      </c>
      <c r="U22">
        <v>-0.0804025</v>
      </c>
      <c r="V22">
        <v>-0.080186</v>
      </c>
      <c r="W22">
        <v>-0.0915839</v>
      </c>
      <c r="X22">
        <v>-0.0803539</v>
      </c>
      <c r="Y22">
        <v>-0.098089</v>
      </c>
      <c r="Z22">
        <v>-0.1178943</v>
      </c>
      <c r="AA22">
        <v>-0.1392217</v>
      </c>
      <c r="AB22">
        <v>-0.0807069</v>
      </c>
      <c r="AC22">
        <v>-0.1220691</v>
      </c>
      <c r="AD22">
        <v>-0.1003882</v>
      </c>
      <c r="AE22">
        <v>-0.0824194</v>
      </c>
      <c r="AF22">
        <v>-0.0641738</v>
      </c>
      <c r="AG22">
        <v>-0.0723216</v>
      </c>
      <c r="AH22">
        <v>-0.0544326</v>
      </c>
      <c r="AI22">
        <v>-0.0776891</v>
      </c>
      <c r="AJ22">
        <v>-0.106216</v>
      </c>
      <c r="AK22">
        <v>-0.1079522</v>
      </c>
      <c r="AL22">
        <v>-0.0428336</v>
      </c>
      <c r="AM22">
        <v>-0.0917351</v>
      </c>
      <c r="AN22">
        <v>-0.0683003</v>
      </c>
      <c r="AO22">
        <v>-0.0603548</v>
      </c>
      <c r="AP22">
        <v>-0.0676125</v>
      </c>
      <c r="AQ22">
        <v>-0.0715873</v>
      </c>
      <c r="AR22">
        <v>-0.0586472</v>
      </c>
      <c r="AS22">
        <v>-0.077206</v>
      </c>
      <c r="AT22">
        <v>-0.1111354</v>
      </c>
      <c r="AU22">
        <v>-0.105363</v>
      </c>
      <c r="AV22">
        <v>-0.0484742</v>
      </c>
      <c r="AW22">
        <v>-0.0927969</v>
      </c>
      <c r="AX22">
        <v>-0.0703397</v>
      </c>
      <c r="AY22">
        <v>-0.0580327</v>
      </c>
      <c r="AZ22">
        <v>-0.1607862</v>
      </c>
      <c r="BA22">
        <v>-0.1566406</v>
      </c>
      <c r="BB22">
        <v>-0.1530907</v>
      </c>
      <c r="BC22">
        <v>-0.1548811</v>
      </c>
      <c r="BD22">
        <v>-0.1982991</v>
      </c>
      <c r="BE22">
        <v>-0.2043019</v>
      </c>
      <c r="BF22">
        <v>-0.1513626</v>
      </c>
      <c r="BG22">
        <v>-0.1749197</v>
      </c>
      <c r="BH22">
        <v>-0.1702836</v>
      </c>
      <c r="BI22">
        <v>-0.1339295</v>
      </c>
      <c r="BJ22">
        <v>-0.1636391</v>
      </c>
      <c r="BK22">
        <v>-0.1561543</v>
      </c>
      <c r="BL22">
        <v>-0.1547301</v>
      </c>
      <c r="BM22">
        <v>-0.1542716</v>
      </c>
      <c r="BN22">
        <v>-0.2042041</v>
      </c>
      <c r="BO22">
        <v>-0.2046122</v>
      </c>
      <c r="BP22">
        <v>-0.1535672</v>
      </c>
      <c r="BQ22">
        <v>-0.1733514</v>
      </c>
      <c r="BR22">
        <v>-0.1700553</v>
      </c>
      <c r="BS22">
        <v>-0.1311197</v>
      </c>
      <c r="BT22">
        <v>-0.1623944</v>
      </c>
      <c r="BU22">
        <v>-0.1577978</v>
      </c>
      <c r="BV22">
        <v>-0.1541859</v>
      </c>
      <c r="BW22">
        <v>-0.1548847</v>
      </c>
      <c r="BX22">
        <v>-0.2008846</v>
      </c>
      <c r="BY22">
        <v>-0.2032308</v>
      </c>
      <c r="BZ22">
        <v>-0.153584</v>
      </c>
      <c r="CA22">
        <v>-0.1744951</v>
      </c>
      <c r="CB22">
        <v>-0.170899</v>
      </c>
      <c r="CC22">
        <v>-0.1333941</v>
      </c>
      <c r="CD22">
        <v>-0.134847</v>
      </c>
      <c r="CE22">
        <v>-0.1282945</v>
      </c>
      <c r="CF22">
        <v>-0.1167267</v>
      </c>
      <c r="CG22">
        <v>-0.1246327</v>
      </c>
      <c r="CH22">
        <v>-0.1770335</v>
      </c>
      <c r="CI22">
        <v>-0.1596172</v>
      </c>
      <c r="CJ22">
        <v>-0.1043265</v>
      </c>
      <c r="CK22">
        <v>-0.1342293</v>
      </c>
      <c r="CL22">
        <v>-0.1284758</v>
      </c>
      <c r="CM22">
        <v>-0.1022135</v>
      </c>
      <c r="CN22">
        <v>-0.1373216</v>
      </c>
      <c r="CO22">
        <v>-0.1277905</v>
      </c>
      <c r="CP22">
        <v>-0.120405</v>
      </c>
      <c r="CQ22">
        <v>-0.1244714</v>
      </c>
      <c r="CR22">
        <v>-0.181405</v>
      </c>
      <c r="CS22">
        <v>-0.1573691</v>
      </c>
      <c r="CT22">
        <v>-0.1092446</v>
      </c>
      <c r="CU22">
        <v>-0.1355626</v>
      </c>
      <c r="CV22">
        <v>-0.1298535</v>
      </c>
      <c r="CW22">
        <v>-0.1002027</v>
      </c>
    </row>
    <row r="23" spans="1:101" x14ac:dyDescent="0.25">
      <c r="A23" t="s">
        <v>67</v>
      </c>
      <c r="B23">
        <v>0</v>
      </c>
      <c r="C23">
        <v>0</v>
      </c>
      <c r="D23">
        <v>0</v>
      </c>
      <c r="E23">
        <v>0</v>
      </c>
      <c r="F23">
        <v>-0.003878</v>
      </c>
      <c r="G23">
        <v>0.0068126</v>
      </c>
      <c r="H23">
        <v>0</v>
      </c>
      <c r="I23">
        <v>0</v>
      </c>
      <c r="J23">
        <v>0</v>
      </c>
      <c r="K23">
        <v>0</v>
      </c>
      <c r="L23">
        <v>0</v>
      </c>
      <c r="M23">
        <v>0</v>
      </c>
      <c r="N23">
        <v>0</v>
      </c>
      <c r="O23">
        <v>0</v>
      </c>
      <c r="P23">
        <v>-0.0053637</v>
      </c>
      <c r="Q23">
        <v>0.0021531</v>
      </c>
      <c r="R23">
        <v>0</v>
      </c>
      <c r="S23">
        <v>0</v>
      </c>
      <c r="T23">
        <v>0</v>
      </c>
      <c r="U23">
        <v>0</v>
      </c>
      <c r="V23">
        <v>0</v>
      </c>
      <c r="W23">
        <v>0</v>
      </c>
      <c r="X23">
        <v>0</v>
      </c>
      <c r="Y23">
        <v>0</v>
      </c>
      <c r="Z23">
        <v>-0.008345</v>
      </c>
      <c r="AA23">
        <v>0.0009592</v>
      </c>
      <c r="AB23">
        <v>0</v>
      </c>
      <c r="AC23">
        <v>0</v>
      </c>
      <c r="AD23">
        <v>0</v>
      </c>
      <c r="AE23">
        <v>0</v>
      </c>
      <c r="AF23">
        <v>0</v>
      </c>
      <c r="AG23">
        <v>0</v>
      </c>
      <c r="AH23">
        <v>0</v>
      </c>
      <c r="AI23">
        <v>0</v>
      </c>
      <c r="AJ23">
        <v>0.0064998</v>
      </c>
      <c r="AK23">
        <v>0.0130483</v>
      </c>
      <c r="AL23">
        <v>0</v>
      </c>
      <c r="AM23">
        <v>0</v>
      </c>
      <c r="AN23">
        <v>0</v>
      </c>
      <c r="AO23">
        <v>0</v>
      </c>
      <c r="AP23">
        <v>0</v>
      </c>
      <c r="AQ23">
        <v>0</v>
      </c>
      <c r="AR23">
        <v>0</v>
      </c>
      <c r="AS23">
        <v>0</v>
      </c>
      <c r="AT23">
        <v>0.0008104</v>
      </c>
      <c r="AU23">
        <v>0.0037907</v>
      </c>
      <c r="AV23">
        <v>0</v>
      </c>
      <c r="AW23">
        <v>0</v>
      </c>
      <c r="AX23">
        <v>0</v>
      </c>
      <c r="AY23">
        <v>0</v>
      </c>
      <c r="AZ23">
        <v>0</v>
      </c>
      <c r="BA23">
        <v>0</v>
      </c>
      <c r="BB23">
        <v>0</v>
      </c>
      <c r="BC23">
        <v>0</v>
      </c>
      <c r="BD23">
        <v>-0.0035619</v>
      </c>
      <c r="BE23">
        <v>-0.0182831</v>
      </c>
      <c r="BF23">
        <v>0</v>
      </c>
      <c r="BG23">
        <v>0</v>
      </c>
      <c r="BH23">
        <v>0</v>
      </c>
      <c r="BI23">
        <v>0</v>
      </c>
      <c r="BJ23">
        <v>0</v>
      </c>
      <c r="BK23">
        <v>0</v>
      </c>
      <c r="BL23">
        <v>0</v>
      </c>
      <c r="BM23">
        <v>0</v>
      </c>
      <c r="BN23">
        <v>-0.0054699</v>
      </c>
      <c r="BO23">
        <v>-0.0216878</v>
      </c>
      <c r="BP23">
        <v>0</v>
      </c>
      <c r="BQ23">
        <v>0</v>
      </c>
      <c r="BR23">
        <v>0</v>
      </c>
      <c r="BS23">
        <v>0</v>
      </c>
      <c r="BT23">
        <v>0</v>
      </c>
      <c r="BU23">
        <v>0</v>
      </c>
      <c r="BV23">
        <v>0</v>
      </c>
      <c r="BW23">
        <v>0</v>
      </c>
      <c r="BX23">
        <v>-0.0079611</v>
      </c>
      <c r="BY23">
        <v>-0.0239714</v>
      </c>
      <c r="BZ23">
        <v>0</v>
      </c>
      <c r="CA23">
        <v>0</v>
      </c>
      <c r="CB23">
        <v>0</v>
      </c>
      <c r="CC23">
        <v>0</v>
      </c>
      <c r="CD23">
        <v>0</v>
      </c>
      <c r="CE23">
        <v>0</v>
      </c>
      <c r="CF23">
        <v>0</v>
      </c>
      <c r="CG23">
        <v>0</v>
      </c>
      <c r="CH23">
        <v>0.0083046</v>
      </c>
      <c r="CI23">
        <v>-0.0103092</v>
      </c>
      <c r="CJ23">
        <v>0</v>
      </c>
      <c r="CK23">
        <v>0</v>
      </c>
      <c r="CL23">
        <v>0</v>
      </c>
      <c r="CM23">
        <v>0</v>
      </c>
      <c r="CN23">
        <v>0</v>
      </c>
      <c r="CO23">
        <v>0</v>
      </c>
      <c r="CP23">
        <v>0</v>
      </c>
      <c r="CQ23">
        <v>0</v>
      </c>
      <c r="CR23">
        <v>0.0031285</v>
      </c>
      <c r="CS23">
        <v>-0.0174998</v>
      </c>
      <c r="CT23">
        <v>0</v>
      </c>
      <c r="CU23">
        <v>0</v>
      </c>
      <c r="CV23">
        <v>0</v>
      </c>
      <c r="CW23">
        <v>0</v>
      </c>
    </row>
    <row r="24" spans="1:101" x14ac:dyDescent="0.25">
      <c r="A24" t="s">
        <v>68</v>
      </c>
      <c r="B24">
        <v>-0.1637806</v>
      </c>
      <c r="C24">
        <v>-0.1543702</v>
      </c>
      <c r="D24">
        <v>-0.1671492</v>
      </c>
      <c r="E24">
        <v>-0.1217081</v>
      </c>
      <c r="F24">
        <v>-0.1884289</v>
      </c>
      <c r="G24">
        <v>-0.1797778</v>
      </c>
      <c r="H24">
        <v>-0.1597513</v>
      </c>
      <c r="I24">
        <v>-0.07795</v>
      </c>
      <c r="J24">
        <v>-0.1759075</v>
      </c>
      <c r="K24">
        <v>-0.180789</v>
      </c>
      <c r="L24">
        <v>-0.1389249</v>
      </c>
      <c r="M24">
        <v>-0.1321848</v>
      </c>
      <c r="N24">
        <v>-0.1444737</v>
      </c>
      <c r="O24">
        <v>-0.1022867</v>
      </c>
      <c r="P24">
        <v>-0.1610389</v>
      </c>
      <c r="Q24">
        <v>-0.1548018</v>
      </c>
      <c r="R24">
        <v>-0.1357371</v>
      </c>
      <c r="S24">
        <v>-0.0585638</v>
      </c>
      <c r="T24">
        <v>-0.155055</v>
      </c>
      <c r="U24">
        <v>-0.1617206</v>
      </c>
      <c r="V24">
        <v>-0.1667286</v>
      </c>
      <c r="W24">
        <v>-0.1637039</v>
      </c>
      <c r="X24">
        <v>-0.1682586</v>
      </c>
      <c r="Y24">
        <v>-0.1305231</v>
      </c>
      <c r="Z24">
        <v>-0.1912183</v>
      </c>
      <c r="AA24">
        <v>-0.1917105</v>
      </c>
      <c r="AB24">
        <v>-0.1610913</v>
      </c>
      <c r="AC24">
        <v>-0.0859505</v>
      </c>
      <c r="AD24">
        <v>-0.1760082</v>
      </c>
      <c r="AE24">
        <v>-0.1890904</v>
      </c>
      <c r="AF24">
        <v>-0.1717026</v>
      </c>
      <c r="AG24">
        <v>-0.1548205</v>
      </c>
      <c r="AH24">
        <v>-0.1735372</v>
      </c>
      <c r="AI24">
        <v>-0.1284899</v>
      </c>
      <c r="AJ24">
        <v>-0.1899413</v>
      </c>
      <c r="AK24">
        <v>-0.1797791</v>
      </c>
      <c r="AL24">
        <v>-0.1663626</v>
      </c>
      <c r="AM24">
        <v>-0.0781765</v>
      </c>
      <c r="AN24">
        <v>-0.1805488</v>
      </c>
      <c r="AO24">
        <v>-0.1894784</v>
      </c>
      <c r="AP24">
        <v>-0.1493231</v>
      </c>
      <c r="AQ24">
        <v>-0.1428668</v>
      </c>
      <c r="AR24">
        <v>-0.1537791</v>
      </c>
      <c r="AS24">
        <v>-0.1198368</v>
      </c>
      <c r="AT24">
        <v>-0.1666635</v>
      </c>
      <c r="AU24">
        <v>-0.1660207</v>
      </c>
      <c r="AV24">
        <v>-0.1455343</v>
      </c>
      <c r="AW24">
        <v>-0.0677064</v>
      </c>
      <c r="AX24">
        <v>-0.1605001</v>
      </c>
      <c r="AY24">
        <v>-0.1820914</v>
      </c>
      <c r="AZ24">
        <v>-0.1450788</v>
      </c>
      <c r="BA24">
        <v>-0.1166776</v>
      </c>
      <c r="BB24">
        <v>-0.1299149</v>
      </c>
      <c r="BC24">
        <v>-0.0712547</v>
      </c>
      <c r="BD24">
        <v>-0.1564215</v>
      </c>
      <c r="BE24">
        <v>-0.1342618</v>
      </c>
      <c r="BF24">
        <v>-0.1130454</v>
      </c>
      <c r="BG24">
        <v>-0.0241467</v>
      </c>
      <c r="BH24">
        <v>-0.1320992</v>
      </c>
      <c r="BI24">
        <v>-0.1225081</v>
      </c>
      <c r="BJ24">
        <v>-0.1265483</v>
      </c>
      <c r="BK24">
        <v>-0.1012429</v>
      </c>
      <c r="BL24">
        <v>-0.1130703</v>
      </c>
      <c r="BM24">
        <v>-0.0597254</v>
      </c>
      <c r="BN24">
        <v>-0.13602</v>
      </c>
      <c r="BO24">
        <v>-0.1165637</v>
      </c>
      <c r="BP24">
        <v>-0.0957183</v>
      </c>
      <c r="BQ24">
        <v>-0.0129715</v>
      </c>
      <c r="BR24">
        <v>-0.1177106</v>
      </c>
      <c r="BS24">
        <v>-0.1122139</v>
      </c>
      <c r="BT24">
        <v>-0.1430514</v>
      </c>
      <c r="BU24">
        <v>-0.1179375</v>
      </c>
      <c r="BV24">
        <v>-0.1286005</v>
      </c>
      <c r="BW24">
        <v>-0.0732754</v>
      </c>
      <c r="BX24">
        <v>-0.156803</v>
      </c>
      <c r="BY24">
        <v>-0.138301</v>
      </c>
      <c r="BZ24">
        <v>-0.1122738</v>
      </c>
      <c r="CA24">
        <v>-0.0259456</v>
      </c>
      <c r="CB24">
        <v>-0.1307433</v>
      </c>
      <c r="CC24">
        <v>-0.1254591</v>
      </c>
      <c r="CD24">
        <v>-0.1399842</v>
      </c>
      <c r="CE24">
        <v>-0.1011023</v>
      </c>
      <c r="CF24">
        <v>-0.1269382</v>
      </c>
      <c r="CG24">
        <v>-0.0629358</v>
      </c>
      <c r="CH24">
        <v>-0.149585</v>
      </c>
      <c r="CI24">
        <v>-0.1204785</v>
      </c>
      <c r="CJ24">
        <v>-0.1106839</v>
      </c>
      <c r="CK24">
        <v>-0.0099119</v>
      </c>
      <c r="CL24">
        <v>-0.1284556</v>
      </c>
      <c r="CM24">
        <v>-0.120455</v>
      </c>
      <c r="CN24">
        <v>-0.1255864</v>
      </c>
      <c r="CO24">
        <v>-0.0955922</v>
      </c>
      <c r="CP24">
        <v>-0.1157635</v>
      </c>
      <c r="CQ24">
        <v>-0.0624552</v>
      </c>
      <c r="CR24">
        <v>-0.1356989</v>
      </c>
      <c r="CS24">
        <v>-0.1128676</v>
      </c>
      <c r="CT24">
        <v>-0.0992136</v>
      </c>
      <c r="CU24">
        <v>-0.007771</v>
      </c>
      <c r="CV24">
        <v>-0.1172069</v>
      </c>
      <c r="CW24">
        <v>-0.1214285</v>
      </c>
    </row>
    <row r="25" spans="1:101" x14ac:dyDescent="0.25">
      <c r="A25" t="s">
        <v>69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0.1442776</v>
      </c>
      <c r="AG25">
        <v>0.0889119</v>
      </c>
      <c r="AH25">
        <v>0.1473705</v>
      </c>
      <c r="AI25">
        <v>0.0728242</v>
      </c>
      <c r="AJ25">
        <v>0.1343318</v>
      </c>
      <c r="AK25">
        <v>0.1235632</v>
      </c>
      <c r="AL25">
        <v>0.1729684</v>
      </c>
      <c r="AM25">
        <v>0.0784806</v>
      </c>
      <c r="AN25">
        <v>0.1122838</v>
      </c>
      <c r="AO25">
        <v>0.0858942</v>
      </c>
      <c r="AP25">
        <v>0.1361989</v>
      </c>
      <c r="AQ25">
        <v>0.0802431</v>
      </c>
      <c r="AR25">
        <v>0.1413965</v>
      </c>
      <c r="AS25">
        <v>0.0651121</v>
      </c>
      <c r="AT25">
        <v>0.1213034</v>
      </c>
      <c r="AU25">
        <v>0.1106372</v>
      </c>
      <c r="AV25">
        <v>0.1651771</v>
      </c>
      <c r="AW25">
        <v>0.0705264</v>
      </c>
      <c r="AX25">
        <v>0.1064527</v>
      </c>
      <c r="AY25">
        <v>0.0797728</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0.1129725</v>
      </c>
      <c r="CE25">
        <v>0.0314626</v>
      </c>
      <c r="CF25">
        <v>0.1149139</v>
      </c>
      <c r="CG25">
        <v>0.0199201</v>
      </c>
      <c r="CH25">
        <v>0.0960646</v>
      </c>
      <c r="CI25">
        <v>0.0680528</v>
      </c>
      <c r="CJ25">
        <v>0.1382642</v>
      </c>
      <c r="CK25">
        <v>0.025501</v>
      </c>
      <c r="CL25">
        <v>0.0773125</v>
      </c>
      <c r="CM25">
        <v>0.0354645</v>
      </c>
      <c r="CN25">
        <v>0.1067741</v>
      </c>
      <c r="CO25">
        <v>0.0256704</v>
      </c>
      <c r="CP25">
        <v>0.1107632</v>
      </c>
      <c r="CQ25">
        <v>0.015675</v>
      </c>
      <c r="CR25">
        <v>0.0847634</v>
      </c>
      <c r="CS25">
        <v>0.057746</v>
      </c>
      <c r="CT25">
        <v>0.1325148</v>
      </c>
      <c r="CU25">
        <v>0.0213662</v>
      </c>
      <c r="CV25">
        <v>0.0734163</v>
      </c>
      <c r="CW25">
        <v>0.0329762</v>
      </c>
    </row>
    <row r="26" spans="1:101" x14ac:dyDescent="0.25">
      <c r="A26" t="s">
        <v>70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0.2421409</v>
      </c>
      <c r="AG26">
        <v>0.291897</v>
      </c>
      <c r="AH26">
        <v>0.2451878</v>
      </c>
      <c r="AI26">
        <v>0.2824453</v>
      </c>
      <c r="AJ26">
        <v>0.2496522</v>
      </c>
      <c r="AK26">
        <v>0.3592212</v>
      </c>
      <c r="AL26">
        <v>0.2469497</v>
      </c>
      <c r="AM26">
        <v>0.2464877</v>
      </c>
      <c r="AN26">
        <v>0.2267393</v>
      </c>
      <c r="AO26">
        <v>0.3361503</v>
      </c>
      <c r="AP26">
        <v>0.2261596</v>
      </c>
      <c r="AQ26">
        <v>0.275073</v>
      </c>
      <c r="AR26">
        <v>0.228136</v>
      </c>
      <c r="AS26">
        <v>0.2676683</v>
      </c>
      <c r="AT26">
        <v>0.2314147</v>
      </c>
      <c r="AU26">
        <v>0.3371204</v>
      </c>
      <c r="AV26">
        <v>0.2276</v>
      </c>
      <c r="AW26">
        <v>0.2306082</v>
      </c>
      <c r="AX26">
        <v>0.2095741</v>
      </c>
      <c r="AY26">
        <v>0.3204988</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0.1975843</v>
      </c>
      <c r="CE26">
        <v>0.2003953</v>
      </c>
      <c r="CF26">
        <v>0.1976537</v>
      </c>
      <c r="CG26">
        <v>0.194949</v>
      </c>
      <c r="CH26">
        <v>0.1987543</v>
      </c>
      <c r="CI26">
        <v>0.2619865</v>
      </c>
      <c r="CJ26">
        <v>0.1991519</v>
      </c>
      <c r="CK26">
        <v>0.1560926</v>
      </c>
      <c r="CL26">
        <v>0.1750215</v>
      </c>
      <c r="CM26">
        <v>0.2451115</v>
      </c>
      <c r="CN26">
        <v>0.1853138</v>
      </c>
      <c r="CO26">
        <v>0.1887637</v>
      </c>
      <c r="CP26">
        <v>0.1840367</v>
      </c>
      <c r="CQ26">
        <v>0.1864231</v>
      </c>
      <c r="CR26">
        <v>0.18397</v>
      </c>
      <c r="CS26">
        <v>0.2446441</v>
      </c>
      <c r="CT26">
        <v>0.1837377</v>
      </c>
      <c r="CU26">
        <v>0.1468633</v>
      </c>
      <c r="CV26">
        <v>0.1614884</v>
      </c>
      <c r="CW26">
        <v>0.2360916</v>
      </c>
    </row>
    <row r="27" spans="1:101" x14ac:dyDescent="0.25">
      <c r="A27" t="s">
        <v>71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0.1885076</v>
      </c>
      <c r="AG27">
        <v>0.1508151</v>
      </c>
      <c r="AH27">
        <v>0.1691593</v>
      </c>
      <c r="AI27">
        <v>0.1437348</v>
      </c>
      <c r="AJ27">
        <v>0.1915023</v>
      </c>
      <c r="AK27">
        <v>0.17924</v>
      </c>
      <c r="AL27">
        <v>0.1678342</v>
      </c>
      <c r="AM27">
        <v>0.1005084</v>
      </c>
      <c r="AN27">
        <v>0.148597</v>
      </c>
      <c r="AO27">
        <v>0.1931235</v>
      </c>
      <c r="AP27">
        <v>0.1804508</v>
      </c>
      <c r="AQ27">
        <v>0.144759</v>
      </c>
      <c r="AR27">
        <v>0.1588908</v>
      </c>
      <c r="AS27">
        <v>0.1388492</v>
      </c>
      <c r="AT27">
        <v>0.1819138</v>
      </c>
      <c r="AU27">
        <v>0.1694628</v>
      </c>
      <c r="AV27">
        <v>0.1602508</v>
      </c>
      <c r="AW27">
        <v>0.094206</v>
      </c>
      <c r="AX27">
        <v>0.140274</v>
      </c>
      <c r="AY27">
        <v>0.1892707</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0.1627381</v>
      </c>
      <c r="CE27">
        <v>0.0927451</v>
      </c>
      <c r="CF27">
        <v>0.1391241</v>
      </c>
      <c r="CG27">
        <v>0.0863835</v>
      </c>
      <c r="CH27">
        <v>0.1562214</v>
      </c>
      <c r="CI27">
        <v>0.1151424</v>
      </c>
      <c r="CJ27">
        <v>0.1338539</v>
      </c>
      <c r="CK27">
        <v>0.0400473</v>
      </c>
      <c r="CL27">
        <v>0.115797</v>
      </c>
      <c r="CM27">
        <v>0.135502</v>
      </c>
      <c r="CN27">
        <v>0.1567115</v>
      </c>
      <c r="CO27">
        <v>0.089241</v>
      </c>
      <c r="CP27">
        <v>0.1308962</v>
      </c>
      <c r="CQ27">
        <v>0.0845697</v>
      </c>
      <c r="CR27">
        <v>0.1485802</v>
      </c>
      <c r="CS27">
        <v>0.1076782</v>
      </c>
      <c r="CT27">
        <v>0.1285162</v>
      </c>
      <c r="CU27">
        <v>0.0369637</v>
      </c>
      <c r="CV27">
        <v>0.1096146</v>
      </c>
      <c r="CW27">
        <v>0.1347158</v>
      </c>
    </row>
    <row r="28" spans="1:101" x14ac:dyDescent="0.25">
      <c r="A28" t="s">
        <v>72</v>
      </c>
      <c r="B28">
        <v>0</v>
      </c>
      <c r="C28">
        <v>0</v>
      </c>
      <c r="D28">
        <v>0</v>
      </c>
      <c r="E28">
        <v>0</v>
      </c>
      <c r="F28">
        <v>0</v>
      </c>
      <c r="G28">
        <v>0</v>
      </c>
      <c r="H28">
        <v>0</v>
      </c>
      <c r="I28">
        <v>0</v>
      </c>
      <c r="J28">
        <v>0</v>
      </c>
      <c r="K28">
        <v>0</v>
      </c>
      <c r="L28">
        <v>0.1793037</v>
      </c>
      <c r="M28">
        <v>0.1887974</v>
      </c>
      <c r="N28">
        <v>0.1501217</v>
      </c>
      <c r="O28">
        <v>0.1510073</v>
      </c>
      <c r="P28">
        <v>0.2197281</v>
      </c>
      <c r="Q28">
        <v>0.2306299</v>
      </c>
      <c r="R28">
        <v>0.1588333</v>
      </c>
      <c r="S28">
        <v>0.1440077</v>
      </c>
      <c r="T28">
        <v>0.140267</v>
      </c>
      <c r="U28">
        <v>0.1624239</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0.1645922</v>
      </c>
      <c r="AQ28">
        <v>0.1772853</v>
      </c>
      <c r="AR28">
        <v>0.1371824</v>
      </c>
      <c r="AS28">
        <v>0.1375837</v>
      </c>
      <c r="AT28">
        <v>0.1948135</v>
      </c>
      <c r="AU28">
        <v>0.2164607</v>
      </c>
      <c r="AV28">
        <v>0.1406282</v>
      </c>
      <c r="AW28">
        <v>0.1354182</v>
      </c>
      <c r="AX28">
        <v>0.1285363</v>
      </c>
      <c r="AY28">
        <v>0.1404936</v>
      </c>
      <c r="AZ28">
        <v>0</v>
      </c>
      <c r="BA28">
        <v>0</v>
      </c>
      <c r="BB28">
        <v>0</v>
      </c>
      <c r="BC28">
        <v>0</v>
      </c>
      <c r="BD28">
        <v>0</v>
      </c>
      <c r="BE28">
        <v>0</v>
      </c>
      <c r="BF28">
        <v>0</v>
      </c>
      <c r="BG28">
        <v>0</v>
      </c>
      <c r="BH28">
        <v>0</v>
      </c>
      <c r="BI28">
        <v>0</v>
      </c>
      <c r="BJ28">
        <v>0.1142251</v>
      </c>
      <c r="BK28">
        <v>0.1007571</v>
      </c>
      <c r="BL28">
        <v>0.0903471</v>
      </c>
      <c r="BM28">
        <v>0.0684872</v>
      </c>
      <c r="BN28">
        <v>0.1486028</v>
      </c>
      <c r="BO28">
        <v>0.1366452</v>
      </c>
      <c r="BP28">
        <v>0.0979522</v>
      </c>
      <c r="BQ28">
        <v>0.0609433</v>
      </c>
      <c r="BR28">
        <v>0.0806194</v>
      </c>
      <c r="BS28">
        <v>0.0793756</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0.1028065</v>
      </c>
      <c r="CO28">
        <v>0.0894596</v>
      </c>
      <c r="CP28">
        <v>0.0810739</v>
      </c>
      <c r="CQ28">
        <v>0.0560171</v>
      </c>
      <c r="CR28">
        <v>0.1273306</v>
      </c>
      <c r="CS28">
        <v>0.1233486</v>
      </c>
      <c r="CT28">
        <v>0.0827556</v>
      </c>
      <c r="CU28">
        <v>0.0548478</v>
      </c>
      <c r="CV28">
        <v>0.0726809</v>
      </c>
      <c r="CW28">
        <v>0.0599546</v>
      </c>
    </row>
    <row r="29" spans="1:101" x14ac:dyDescent="0.25">
      <c r="A29" t="s">
        <v>73</v>
      </c>
      <c r="B29">
        <v>0</v>
      </c>
      <c r="C29">
        <v>0</v>
      </c>
      <c r="D29">
        <v>0</v>
      </c>
      <c r="E29">
        <v>0</v>
      </c>
      <c r="F29">
        <v>0</v>
      </c>
      <c r="G29">
        <v>0</v>
      </c>
      <c r="H29">
        <v>0</v>
      </c>
      <c r="I29">
        <v>0</v>
      </c>
      <c r="J29">
        <v>0</v>
      </c>
      <c r="K29">
        <v>0</v>
      </c>
      <c r="L29">
        <v>0.0132073</v>
      </c>
      <c r="M29">
        <v>0.0916979</v>
      </c>
      <c r="N29">
        <v>0.0050257</v>
      </c>
      <c r="O29">
        <v>0.0556</v>
      </c>
      <c r="P29">
        <v>0.0326667</v>
      </c>
      <c r="Q29">
        <v>0.1472194</v>
      </c>
      <c r="R29">
        <v>0.03215</v>
      </c>
      <c r="S29">
        <v>0.0691246</v>
      </c>
      <c r="T29">
        <v>-0.0282752</v>
      </c>
      <c r="U29">
        <v>0.0412377</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0.0198413</v>
      </c>
      <c r="AQ29">
        <v>0.1095674</v>
      </c>
      <c r="AR29">
        <v>0.0061613</v>
      </c>
      <c r="AS29">
        <v>0.0652944</v>
      </c>
      <c r="AT29">
        <v>0.0395368</v>
      </c>
      <c r="AU29">
        <v>0.1702805</v>
      </c>
      <c r="AV29">
        <v>0.032372</v>
      </c>
      <c r="AW29">
        <v>0.0759494</v>
      </c>
      <c r="AX29">
        <v>-0.0243528</v>
      </c>
      <c r="AY29">
        <v>0.0536898</v>
      </c>
      <c r="AZ29">
        <v>0</v>
      </c>
      <c r="BA29">
        <v>0</v>
      </c>
      <c r="BB29">
        <v>0</v>
      </c>
      <c r="BC29">
        <v>0</v>
      </c>
      <c r="BD29">
        <v>0</v>
      </c>
      <c r="BE29">
        <v>0</v>
      </c>
      <c r="BF29">
        <v>0</v>
      </c>
      <c r="BG29">
        <v>0</v>
      </c>
      <c r="BH29">
        <v>0</v>
      </c>
      <c r="BI29">
        <v>0</v>
      </c>
      <c r="BJ29">
        <v>-0.0055863</v>
      </c>
      <c r="BK29">
        <v>0.0572456</v>
      </c>
      <c r="BL29">
        <v>-0.0145818</v>
      </c>
      <c r="BM29">
        <v>0.0193962</v>
      </c>
      <c r="BN29">
        <v>0.011608</v>
      </c>
      <c r="BO29">
        <v>0.1078355</v>
      </c>
      <c r="BP29">
        <v>0.0128614</v>
      </c>
      <c r="BQ29">
        <v>0.0324875</v>
      </c>
      <c r="BR29">
        <v>-0.0490149</v>
      </c>
      <c r="BS29">
        <v>0.0025522</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-0.0006181</v>
      </c>
      <c r="CO29">
        <v>0.0710124</v>
      </c>
      <c r="CP29">
        <v>-0.0147785</v>
      </c>
      <c r="CQ29">
        <v>0.0252244</v>
      </c>
      <c r="CR29">
        <v>0.0167008</v>
      </c>
      <c r="CS29">
        <v>0.1274796</v>
      </c>
      <c r="CT29">
        <v>0.0116095</v>
      </c>
      <c r="CU29">
        <v>0.0362993</v>
      </c>
      <c r="CV29">
        <v>-0.0463426</v>
      </c>
      <c r="CW29">
        <v>0.0124922</v>
      </c>
    </row>
    <row r="30" spans="1:101" x14ac:dyDescent="0.25">
      <c r="A30" t="s">
        <v>74</v>
      </c>
      <c r="B30">
        <v>0</v>
      </c>
      <c r="C30">
        <v>0</v>
      </c>
      <c r="D30">
        <v>0</v>
      </c>
      <c r="E30">
        <v>0</v>
      </c>
      <c r="F30">
        <v>0</v>
      </c>
      <c r="G30">
        <v>0</v>
      </c>
      <c r="H30">
        <v>0</v>
      </c>
      <c r="I30">
        <v>0</v>
      </c>
      <c r="J30">
        <v>0</v>
      </c>
      <c r="K30">
        <v>0</v>
      </c>
      <c r="L30">
        <v>0</v>
      </c>
      <c r="M30">
        <v>0</v>
      </c>
      <c r="N30">
        <v>0</v>
      </c>
      <c r="O30">
        <v>0</v>
      </c>
      <c r="P30">
        <v>0</v>
      </c>
      <c r="Q30">
        <v>0</v>
      </c>
      <c r="R30">
        <v>0</v>
      </c>
      <c r="S30">
        <v>0</v>
      </c>
      <c r="T30">
        <v>0</v>
      </c>
      <c r="U30">
        <v>0</v>
      </c>
      <c r="V30">
        <v>0.1338348</v>
      </c>
      <c r="W30">
        <v>0.13159</v>
      </c>
      <c r="X30">
        <v>0.1339055</v>
      </c>
      <c r="Y30">
        <v>0.1157161</v>
      </c>
      <c r="Z30">
        <v>0.1856442</v>
      </c>
      <c r="AA30">
        <v>0.1652857</v>
      </c>
      <c r="AB30">
        <v>0.1832739</v>
      </c>
      <c r="AC30">
        <v>0.1251064</v>
      </c>
      <c r="AD30">
        <v>0.0929695</v>
      </c>
      <c r="AE30">
        <v>0.1076023</v>
      </c>
      <c r="AF30">
        <v>0</v>
      </c>
      <c r="AG30">
        <v>0</v>
      </c>
      <c r="AH30">
        <v>0</v>
      </c>
      <c r="AI30">
        <v>0</v>
      </c>
      <c r="AJ30">
        <v>0</v>
      </c>
      <c r="AK30">
        <v>0</v>
      </c>
      <c r="AL30">
        <v>0</v>
      </c>
      <c r="AM30">
        <v>0</v>
      </c>
      <c r="AN30">
        <v>0</v>
      </c>
      <c r="AO30">
        <v>0</v>
      </c>
      <c r="AP30">
        <v>0.1298513</v>
      </c>
      <c r="AQ30">
        <v>0.1165698</v>
      </c>
      <c r="AR30">
        <v>0.123192</v>
      </c>
      <c r="AS30">
        <v>0.101282</v>
      </c>
      <c r="AT30">
        <v>0.176668</v>
      </c>
      <c r="AU30">
        <v>0.148297</v>
      </c>
      <c r="AV30">
        <v>0.1656628</v>
      </c>
      <c r="AW30">
        <v>0.116195</v>
      </c>
      <c r="AX30">
        <v>0.089734</v>
      </c>
      <c r="AY30">
        <v>0.0868309</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0.0940543</v>
      </c>
      <c r="BU30">
        <v>0.0768169</v>
      </c>
      <c r="BV30">
        <v>0.0875827</v>
      </c>
      <c r="BW30">
        <v>0.0591089</v>
      </c>
      <c r="BX30">
        <v>0.1448336</v>
      </c>
      <c r="BY30">
        <v>0.1101184</v>
      </c>
      <c r="BZ30">
        <v>0.134395</v>
      </c>
      <c r="CA30">
        <v>0.0695636</v>
      </c>
      <c r="CB30">
        <v>0.0457624</v>
      </c>
      <c r="CC30">
        <v>0.0500544</v>
      </c>
      <c r="CD30">
        <v>0</v>
      </c>
      <c r="CE30">
        <v>0</v>
      </c>
      <c r="CF30">
        <v>0</v>
      </c>
      <c r="CG30">
        <v>0</v>
      </c>
      <c r="CH30">
        <v>0</v>
      </c>
      <c r="CI30">
        <v>0</v>
      </c>
      <c r="CJ30">
        <v>0</v>
      </c>
      <c r="CK30">
        <v>0</v>
      </c>
      <c r="CL30">
        <v>0</v>
      </c>
      <c r="CM30">
        <v>0</v>
      </c>
      <c r="CN30">
        <v>0.0925285</v>
      </c>
      <c r="CO30">
        <v>0.0676202</v>
      </c>
      <c r="CP30">
        <v>0.0794709</v>
      </c>
      <c r="CQ30">
        <v>0.0501422</v>
      </c>
      <c r="CR30">
        <v>0.1378342</v>
      </c>
      <c r="CS30">
        <v>0.0985062</v>
      </c>
      <c r="CT30">
        <v>0.1200107</v>
      </c>
      <c r="CU30">
        <v>0.0656365</v>
      </c>
      <c r="CV30">
        <v>0.0451134</v>
      </c>
      <c r="CW30">
        <v>0.0353323</v>
      </c>
    </row>
    <row r="31" spans="1:101" x14ac:dyDescent="0.25">
      <c r="A31" t="s">
        <v>75</v>
      </c>
      <c r="B31">
        <v>0</v>
      </c>
      <c r="C31">
        <v>0</v>
      </c>
      <c r="D31">
        <v>0</v>
      </c>
      <c r="E31">
        <v>0</v>
      </c>
      <c r="F31">
        <v>0</v>
      </c>
      <c r="G31">
        <v>0</v>
      </c>
      <c r="H31">
        <v>0</v>
      </c>
      <c r="I31">
        <v>0</v>
      </c>
      <c r="J31">
        <v>0</v>
      </c>
      <c r="K31">
        <v>0</v>
      </c>
      <c r="L31">
        <v>0</v>
      </c>
      <c r="M31">
        <v>0</v>
      </c>
      <c r="N31">
        <v>0</v>
      </c>
      <c r="O31">
        <v>0</v>
      </c>
      <c r="P31">
        <v>0</v>
      </c>
      <c r="Q31">
        <v>0</v>
      </c>
      <c r="R31">
        <v>0</v>
      </c>
      <c r="S31">
        <v>0</v>
      </c>
      <c r="T31">
        <v>0</v>
      </c>
      <c r="U31">
        <v>0</v>
      </c>
      <c r="V31">
        <v>0.1622409</v>
      </c>
      <c r="W31">
        <v>0.1295185</v>
      </c>
      <c r="X31">
        <v>0.1596461</v>
      </c>
      <c r="Y31">
        <v>0.1288303</v>
      </c>
      <c r="Z31">
        <v>0.1833083</v>
      </c>
      <c r="AA31">
        <v>0.1505859</v>
      </c>
      <c r="AB31">
        <v>0.1755465</v>
      </c>
      <c r="AC31">
        <v>0.1177006</v>
      </c>
      <c r="AD31">
        <v>0.1545054</v>
      </c>
      <c r="AE31">
        <v>0.1408596</v>
      </c>
      <c r="AF31">
        <v>0</v>
      </c>
      <c r="AG31">
        <v>0</v>
      </c>
      <c r="AH31">
        <v>0</v>
      </c>
      <c r="AI31">
        <v>0</v>
      </c>
      <c r="AJ31">
        <v>0</v>
      </c>
      <c r="AK31">
        <v>0</v>
      </c>
      <c r="AL31">
        <v>0</v>
      </c>
      <c r="AM31">
        <v>0</v>
      </c>
      <c r="AN31">
        <v>0</v>
      </c>
      <c r="AO31">
        <v>0</v>
      </c>
      <c r="AP31">
        <v>0.1412555</v>
      </c>
      <c r="AQ31">
        <v>0.1048297</v>
      </c>
      <c r="AR31">
        <v>0.1410572</v>
      </c>
      <c r="AS31">
        <v>0.1092726</v>
      </c>
      <c r="AT31">
        <v>0.1614911</v>
      </c>
      <c r="AU31">
        <v>0.1234088</v>
      </c>
      <c r="AV31">
        <v>0.1586376</v>
      </c>
      <c r="AW31">
        <v>0.0991112</v>
      </c>
      <c r="AX31">
        <v>0.135479</v>
      </c>
      <c r="AY31">
        <v>0.1187536</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0.1116486</v>
      </c>
      <c r="BU31">
        <v>0.0777295</v>
      </c>
      <c r="BV31">
        <v>0.1126417</v>
      </c>
      <c r="BW31">
        <v>0.0821158</v>
      </c>
      <c r="BX31">
        <v>0.1277838</v>
      </c>
      <c r="BY31">
        <v>0.0949198</v>
      </c>
      <c r="BZ31">
        <v>0.1270458</v>
      </c>
      <c r="CA31">
        <v>0.0707541</v>
      </c>
      <c r="CB31">
        <v>0.1056467</v>
      </c>
      <c r="CC31">
        <v>0.0917727</v>
      </c>
      <c r="CD31">
        <v>0</v>
      </c>
      <c r="CE31">
        <v>0</v>
      </c>
      <c r="CF31">
        <v>0</v>
      </c>
      <c r="CG31">
        <v>0</v>
      </c>
      <c r="CH31">
        <v>0</v>
      </c>
      <c r="CI31">
        <v>0</v>
      </c>
      <c r="CJ31">
        <v>0</v>
      </c>
      <c r="CK31">
        <v>0</v>
      </c>
      <c r="CL31">
        <v>0</v>
      </c>
      <c r="CM31">
        <v>0</v>
      </c>
      <c r="CN31">
        <v>0.0975598</v>
      </c>
      <c r="CO31">
        <v>0.063409</v>
      </c>
      <c r="CP31">
        <v>0.1002615</v>
      </c>
      <c r="CQ31">
        <v>0.0722905</v>
      </c>
      <c r="CR31">
        <v>0.1138832</v>
      </c>
      <c r="CS31">
        <v>0.0804844</v>
      </c>
      <c r="CT31">
        <v>0.1162423</v>
      </c>
      <c r="CU31">
        <v>0.0621508</v>
      </c>
      <c r="CV31">
        <v>0.0924872</v>
      </c>
      <c r="CW31">
        <v>0.0804095</v>
      </c>
    </row>
    <row r="32" spans="1:101" x14ac:dyDescent="0.25">
      <c r="A32" t="s">
        <v>76</v>
      </c>
      <c r="B32">
        <v>0</v>
      </c>
      <c r="C32">
        <v>0</v>
      </c>
      <c r="D32">
        <v>0</v>
      </c>
      <c r="E32">
        <v>0</v>
      </c>
      <c r="F32">
        <v>0</v>
      </c>
      <c r="G32">
        <v>0</v>
      </c>
      <c r="H32">
        <v>0</v>
      </c>
      <c r="I32">
        <v>0</v>
      </c>
      <c r="J32">
        <v>0</v>
      </c>
      <c r="K32">
        <v>0</v>
      </c>
      <c r="L32">
        <v>0</v>
      </c>
      <c r="M32">
        <v>0</v>
      </c>
      <c r="N32">
        <v>0</v>
      </c>
      <c r="O32">
        <v>0</v>
      </c>
      <c r="P32">
        <v>0</v>
      </c>
      <c r="Q32">
        <v>0</v>
      </c>
      <c r="R32">
        <v>0</v>
      </c>
      <c r="S32">
        <v>0</v>
      </c>
      <c r="T32">
        <v>0</v>
      </c>
      <c r="U32">
        <v>0</v>
      </c>
      <c r="V32">
        <v>-0.0142496</v>
      </c>
      <c r="W32">
        <v>-0.0128373</v>
      </c>
      <c r="X32">
        <v>0.0015678</v>
      </c>
      <c r="Y32">
        <v>-0.0010001</v>
      </c>
      <c r="Z32">
        <v>-0.0143112</v>
      </c>
      <c r="AA32">
        <v>-0.0113444</v>
      </c>
      <c r="AB32">
        <v>0.0268381</v>
      </c>
      <c r="AC32">
        <v>0.0285438</v>
      </c>
      <c r="AD32">
        <v>-0.025509</v>
      </c>
      <c r="AE32">
        <v>-0.0470943</v>
      </c>
      <c r="AF32">
        <v>0</v>
      </c>
      <c r="AG32">
        <v>0</v>
      </c>
      <c r="AH32">
        <v>0</v>
      </c>
      <c r="AI32">
        <v>0</v>
      </c>
      <c r="AJ32">
        <v>0</v>
      </c>
      <c r="AK32">
        <v>0</v>
      </c>
      <c r="AL32">
        <v>0</v>
      </c>
      <c r="AM32">
        <v>0</v>
      </c>
      <c r="AN32">
        <v>0</v>
      </c>
      <c r="AO32">
        <v>0</v>
      </c>
      <c r="AP32">
        <v>-0.0031658</v>
      </c>
      <c r="AQ32">
        <v>-0.0230072</v>
      </c>
      <c r="AR32">
        <v>0.005866</v>
      </c>
      <c r="AS32">
        <v>-0.0112852</v>
      </c>
      <c r="AT32">
        <v>-0.0010583</v>
      </c>
      <c r="AU32">
        <v>-0.0234637</v>
      </c>
      <c r="AV32">
        <v>0.0266703</v>
      </c>
      <c r="AW32">
        <v>0.0213677</v>
      </c>
      <c r="AX32">
        <v>-0.0158448</v>
      </c>
      <c r="AY32">
        <v>-0.060318</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-0.0024798</v>
      </c>
      <c r="BU32">
        <v>0.0092204</v>
      </c>
      <c r="BV32">
        <v>0.0124356</v>
      </c>
      <c r="BW32">
        <v>0.0179755</v>
      </c>
      <c r="BX32">
        <v>-0.0022589</v>
      </c>
      <c r="BY32">
        <v>0.0084192</v>
      </c>
      <c r="BZ32">
        <v>0.0374905</v>
      </c>
      <c r="CA32">
        <v>0.0491596</v>
      </c>
      <c r="CB32">
        <v>-0.017081</v>
      </c>
      <c r="CC32">
        <v>-0.0311993</v>
      </c>
      <c r="CD32">
        <v>0</v>
      </c>
      <c r="CE32">
        <v>0</v>
      </c>
      <c r="CF32">
        <v>0</v>
      </c>
      <c r="CG32">
        <v>0</v>
      </c>
      <c r="CH32">
        <v>0</v>
      </c>
      <c r="CI32">
        <v>0</v>
      </c>
      <c r="CJ32">
        <v>0</v>
      </c>
      <c r="CK32">
        <v>0</v>
      </c>
      <c r="CL32">
        <v>0</v>
      </c>
      <c r="CM32">
        <v>0</v>
      </c>
      <c r="CN32">
        <v>0.0101713</v>
      </c>
      <c r="CO32">
        <v>0.0038783</v>
      </c>
      <c r="CP32">
        <v>0.017301</v>
      </c>
      <c r="CQ32">
        <v>0.0114945</v>
      </c>
      <c r="CR32">
        <v>0.0138979</v>
      </c>
      <c r="CS32">
        <v>0.0022806</v>
      </c>
      <c r="CT32">
        <v>0.0378343</v>
      </c>
      <c r="CU32">
        <v>0.0457156</v>
      </c>
      <c r="CV32">
        <v>-0.0068354</v>
      </c>
      <c r="CW32">
        <v>-0.0410015</v>
      </c>
    </row>
    <row r="33" spans="1:101" x14ac:dyDescent="0.25">
      <c r="A33" t="s">
        <v>77</v>
      </c>
      <c r="B33">
        <v>-3.307728</v>
      </c>
      <c r="C33">
        <v>-3.031168</v>
      </c>
      <c r="D33">
        <v>-3.819975</v>
      </c>
      <c r="E33">
        <v>-3.500655</v>
      </c>
      <c r="F33">
        <v>-4.310409</v>
      </c>
      <c r="G33">
        <v>-3.946391</v>
      </c>
      <c r="H33">
        <v>-4.608751</v>
      </c>
      <c r="I33">
        <v>-4.156753</v>
      </c>
      <c r="J33">
        <v>-4.409199</v>
      </c>
      <c r="K33">
        <v>-4.20881</v>
      </c>
      <c r="L33">
        <v>-3.738341</v>
      </c>
      <c r="M33">
        <v>-3.510705</v>
      </c>
      <c r="N33">
        <v>-4.174614</v>
      </c>
      <c r="O33">
        <v>-3.85146</v>
      </c>
      <c r="P33">
        <v>-4.841506</v>
      </c>
      <c r="Q33">
        <v>-4.556907</v>
      </c>
      <c r="R33">
        <v>-4.989932</v>
      </c>
      <c r="S33">
        <v>-4.50564</v>
      </c>
      <c r="T33">
        <v>-4.722218</v>
      </c>
      <c r="U33">
        <v>-4.594023</v>
      </c>
      <c r="V33">
        <v>-3.306162</v>
      </c>
      <c r="W33">
        <v>-3.040901</v>
      </c>
      <c r="X33">
        <v>-3.838746</v>
      </c>
      <c r="Y33">
        <v>-3.51835</v>
      </c>
      <c r="Z33">
        <v>-4.288225</v>
      </c>
      <c r="AA33">
        <v>-3.961954</v>
      </c>
      <c r="AB33">
        <v>-4.667457</v>
      </c>
      <c r="AC33">
        <v>-4.219654</v>
      </c>
      <c r="AD33">
        <v>-4.396448</v>
      </c>
      <c r="AE33">
        <v>-4.179346</v>
      </c>
      <c r="AF33">
        <v>-3.461564</v>
      </c>
      <c r="AG33">
        <v>-3.159572</v>
      </c>
      <c r="AH33">
        <v>-3.955898</v>
      </c>
      <c r="AI33">
        <v>-3.624712</v>
      </c>
      <c r="AJ33">
        <v>-4.409382</v>
      </c>
      <c r="AK33">
        <v>-4.058977</v>
      </c>
      <c r="AL33">
        <v>-4.754823</v>
      </c>
      <c r="AM33">
        <v>-4.254527</v>
      </c>
      <c r="AN33">
        <v>-4.520553</v>
      </c>
      <c r="AO33">
        <v>-4.37499</v>
      </c>
      <c r="AP33">
        <v>-3.860385</v>
      </c>
      <c r="AQ33">
        <v>-3.631387</v>
      </c>
      <c r="AR33">
        <v>-4.291503</v>
      </c>
      <c r="AS33">
        <v>-3.969788</v>
      </c>
      <c r="AT33">
        <v>-4.896524</v>
      </c>
      <c r="AU33">
        <v>-4.663513</v>
      </c>
      <c r="AV33">
        <v>-5.131505</v>
      </c>
      <c r="AW33">
        <v>-4.629874</v>
      </c>
      <c r="AX33">
        <v>-4.800802</v>
      </c>
      <c r="AY33">
        <v>-4.683048</v>
      </c>
      <c r="AZ33">
        <v>-1.318827</v>
      </c>
      <c r="BA33">
        <v>-1.148204</v>
      </c>
      <c r="BB33">
        <v>-1.974074</v>
      </c>
      <c r="BC33">
        <v>-1.736444</v>
      </c>
      <c r="BD33">
        <v>-2.205379</v>
      </c>
      <c r="BE33">
        <v>-1.95751</v>
      </c>
      <c r="BF33">
        <v>-2.733866</v>
      </c>
      <c r="BG33">
        <v>-2.376762</v>
      </c>
      <c r="BH33">
        <v>-2.62078</v>
      </c>
      <c r="BI33">
        <v>-2.458022</v>
      </c>
      <c r="BJ33">
        <v>-1.583738</v>
      </c>
      <c r="BK33">
        <v>-1.398727</v>
      </c>
      <c r="BL33">
        <v>-2.178888</v>
      </c>
      <c r="BM33">
        <v>-1.873449</v>
      </c>
      <c r="BN33">
        <v>-2.538952</v>
      </c>
      <c r="BO33">
        <v>-2.314872</v>
      </c>
      <c r="BP33">
        <v>-2.958872</v>
      </c>
      <c r="BQ33">
        <v>-2.505263</v>
      </c>
      <c r="BR33">
        <v>-2.780053</v>
      </c>
      <c r="BS33">
        <v>-2.619781</v>
      </c>
      <c r="BT33">
        <v>-1.341059</v>
      </c>
      <c r="BU33">
        <v>-1.180767</v>
      </c>
      <c r="BV33">
        <v>-2.011533</v>
      </c>
      <c r="BW33">
        <v>-1.777708</v>
      </c>
      <c r="BX33">
        <v>-2.193553</v>
      </c>
      <c r="BY33">
        <v>-1.974999</v>
      </c>
      <c r="BZ33">
        <v>-2.802642</v>
      </c>
      <c r="CA33">
        <v>-2.48433</v>
      </c>
      <c r="CB33">
        <v>-2.618396</v>
      </c>
      <c r="CC33">
        <v>-2.438154</v>
      </c>
      <c r="CD33">
        <v>-1.493211</v>
      </c>
      <c r="CE33">
        <v>-1.251031</v>
      </c>
      <c r="CF33">
        <v>-2.116951</v>
      </c>
      <c r="CG33">
        <v>-1.836632</v>
      </c>
      <c r="CH33">
        <v>-2.317899</v>
      </c>
      <c r="CI33">
        <v>-2.060187</v>
      </c>
      <c r="CJ33">
        <v>-2.860998</v>
      </c>
      <c r="CK33">
        <v>-2.459219</v>
      </c>
      <c r="CL33">
        <v>-2.714965</v>
      </c>
      <c r="CM33">
        <v>-2.609552</v>
      </c>
      <c r="CN33">
        <v>-1.748475</v>
      </c>
      <c r="CO33">
        <v>-1.504558</v>
      </c>
      <c r="CP33">
        <v>-2.314066</v>
      </c>
      <c r="CQ33">
        <v>-1.985368</v>
      </c>
      <c r="CR33">
        <v>-2.642208</v>
      </c>
      <c r="CS33">
        <v>-2.425439</v>
      </c>
      <c r="CT33">
        <v>-3.099189</v>
      </c>
      <c r="CU33">
        <v>-2.643083</v>
      </c>
      <c r="CV33">
        <v>-2.858449</v>
      </c>
      <c r="CW33">
        <v>-2.713952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Calculator</vt:lpstr>
      <vt:lpstr>Sources</vt:lpstr>
      <vt:lpstr>Engine</vt:lpstr>
      <vt:lpstr>Coefficients</vt:lpstr>
    </vt:vector>
  </TitlesOfParts>
  <Company>OpenAI</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OpenAI Codex</dc:creator>
  <dc:title/>
  <dc:subject/>
  <dc:description/>
  <cp:keywords/>
  <cp:category/>
  <cp:lastModifiedBy>Unknown</cp:lastModifiedBy>
  <dcterms:created xsi:type="dcterms:W3CDTF">2026-05-06T07:00:00Z</dcterms:created>
  <dcterms:modified xsi:type="dcterms:W3CDTF">2026-05-06T07:00:00Z</dcterms:modified>
</cp:coreProperties>
</file>